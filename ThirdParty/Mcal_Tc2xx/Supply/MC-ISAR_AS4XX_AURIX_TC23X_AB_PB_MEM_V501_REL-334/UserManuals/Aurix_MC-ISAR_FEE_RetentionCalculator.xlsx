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15" windowWidth="12390" windowHeight="9315" activeTab="2"/>
  </bookViews>
  <sheets>
    <sheet name="Revision History" sheetId="4" r:id="rId1"/>
    <sheet name="README" sheetId="2" r:id="rId2"/>
    <sheet name="AURIX_FEE_Retention" sheetId="3" r:id="rId3"/>
  </sheets>
  <calcPr calcId="145621"/>
</workbook>
</file>

<file path=xl/calcChain.xml><?xml version="1.0" encoding="utf-8"?>
<calcChain xmlns="http://schemas.openxmlformats.org/spreadsheetml/2006/main">
  <c r="G20" i="3" l="1"/>
  <c r="G19" i="3" l="1"/>
  <c r="G15" i="3"/>
  <c r="G9" i="3"/>
  <c r="H30" i="3" l="1"/>
  <c r="J30" i="3" s="1"/>
  <c r="I30" i="3"/>
  <c r="H31" i="3"/>
  <c r="I31" i="3"/>
  <c r="H32" i="3"/>
  <c r="I32" i="3"/>
  <c r="H33" i="3"/>
  <c r="I33" i="3"/>
  <c r="H34" i="3"/>
  <c r="I34" i="3"/>
  <c r="J34" i="3"/>
  <c r="H35" i="3"/>
  <c r="I35" i="3"/>
  <c r="J35" i="3"/>
  <c r="H36" i="3"/>
  <c r="I36" i="3"/>
  <c r="J36" i="3"/>
  <c r="H37" i="3"/>
  <c r="I37" i="3"/>
  <c r="J37" i="3"/>
  <c r="H38" i="3"/>
  <c r="I38" i="3"/>
  <c r="J38" i="3"/>
  <c r="H39" i="3"/>
  <c r="I39" i="3"/>
  <c r="J39" i="3"/>
  <c r="H40" i="3"/>
  <c r="I40" i="3"/>
  <c r="J40" i="3"/>
  <c r="H41" i="3"/>
  <c r="I41" i="3"/>
  <c r="J41" i="3"/>
  <c r="H42" i="3"/>
  <c r="I42" i="3"/>
  <c r="J42" i="3"/>
  <c r="H43" i="3"/>
  <c r="I43" i="3"/>
  <c r="J43" i="3"/>
  <c r="H44" i="3"/>
  <c r="I44" i="3"/>
  <c r="J44" i="3"/>
  <c r="H45" i="3"/>
  <c r="I45" i="3"/>
  <c r="J45" i="3"/>
  <c r="H46" i="3"/>
  <c r="I46" i="3"/>
  <c r="J46" i="3"/>
  <c r="H47" i="3"/>
  <c r="I47" i="3"/>
  <c r="J47" i="3"/>
  <c r="H48" i="3"/>
  <c r="I48" i="3"/>
  <c r="J48" i="3"/>
  <c r="H49" i="3"/>
  <c r="I49" i="3"/>
  <c r="J49" i="3"/>
  <c r="H50" i="3"/>
  <c r="I50" i="3"/>
  <c r="J50" i="3"/>
  <c r="H51" i="3"/>
  <c r="I51" i="3"/>
  <c r="J51" i="3"/>
  <c r="H52" i="3"/>
  <c r="I52" i="3"/>
  <c r="J52" i="3"/>
  <c r="H53" i="3"/>
  <c r="I53" i="3"/>
  <c r="J53" i="3"/>
  <c r="H54" i="3"/>
  <c r="I54" i="3"/>
  <c r="J54" i="3"/>
  <c r="H55" i="3"/>
  <c r="I55" i="3"/>
  <c r="J55" i="3"/>
  <c r="H56" i="3"/>
  <c r="I56" i="3"/>
  <c r="J56" i="3"/>
  <c r="H57" i="3"/>
  <c r="I57" i="3"/>
  <c r="J57" i="3"/>
  <c r="H58" i="3"/>
  <c r="I58" i="3"/>
  <c r="J58" i="3"/>
  <c r="H59" i="3"/>
  <c r="I59" i="3"/>
  <c r="J59" i="3"/>
  <c r="H60" i="3"/>
  <c r="I60" i="3"/>
  <c r="J60" i="3"/>
  <c r="H61" i="3"/>
  <c r="I61" i="3"/>
  <c r="J61" i="3"/>
  <c r="H62" i="3"/>
  <c r="I62" i="3"/>
  <c r="J62" i="3"/>
  <c r="H63" i="3"/>
  <c r="I63" i="3"/>
  <c r="J63" i="3"/>
  <c r="H64" i="3"/>
  <c r="I64" i="3"/>
  <c r="J64" i="3"/>
  <c r="H65" i="3"/>
  <c r="I65" i="3"/>
  <c r="J65" i="3"/>
  <c r="H66" i="3"/>
  <c r="I66" i="3"/>
  <c r="J66" i="3"/>
  <c r="H67" i="3"/>
  <c r="I67" i="3"/>
  <c r="J67" i="3"/>
  <c r="H68" i="3"/>
  <c r="I68" i="3"/>
  <c r="J68" i="3"/>
  <c r="H69" i="3"/>
  <c r="I69" i="3"/>
  <c r="J69" i="3"/>
  <c r="H70" i="3"/>
  <c r="I70" i="3"/>
  <c r="J70" i="3"/>
  <c r="H71" i="3"/>
  <c r="I71" i="3"/>
  <c r="J71" i="3"/>
  <c r="H72" i="3"/>
  <c r="I72" i="3"/>
  <c r="J72" i="3"/>
  <c r="H73" i="3"/>
  <c r="I73" i="3"/>
  <c r="J73" i="3"/>
  <c r="H74" i="3"/>
  <c r="I74" i="3"/>
  <c r="J74" i="3"/>
  <c r="H75" i="3"/>
  <c r="I75" i="3"/>
  <c r="J75" i="3"/>
  <c r="H76" i="3"/>
  <c r="I76" i="3"/>
  <c r="J76" i="3"/>
  <c r="H77" i="3"/>
  <c r="I77" i="3"/>
  <c r="J77" i="3"/>
  <c r="H78" i="3"/>
  <c r="I78" i="3"/>
  <c r="J78" i="3"/>
  <c r="H79" i="3"/>
  <c r="I79" i="3"/>
  <c r="J79" i="3"/>
  <c r="H80" i="3"/>
  <c r="I80" i="3"/>
  <c r="J80" i="3"/>
  <c r="H81" i="3"/>
  <c r="I81" i="3"/>
  <c r="J81" i="3"/>
  <c r="H82" i="3"/>
  <c r="I82" i="3"/>
  <c r="J82" i="3"/>
  <c r="H83" i="3"/>
  <c r="I83" i="3"/>
  <c r="J83" i="3"/>
  <c r="H84" i="3"/>
  <c r="I84" i="3"/>
  <c r="J84" i="3"/>
  <c r="H85" i="3"/>
  <c r="I85" i="3"/>
  <c r="J85" i="3"/>
  <c r="H86" i="3"/>
  <c r="I86" i="3"/>
  <c r="J86" i="3"/>
  <c r="H87" i="3"/>
  <c r="I87" i="3"/>
  <c r="J87" i="3"/>
  <c r="H88" i="3"/>
  <c r="I88" i="3"/>
  <c r="J88" i="3"/>
  <c r="H89" i="3"/>
  <c r="I89" i="3"/>
  <c r="J89" i="3"/>
  <c r="H90" i="3"/>
  <c r="I90" i="3"/>
  <c r="J90" i="3"/>
  <c r="H91" i="3"/>
  <c r="I91" i="3"/>
  <c r="J91" i="3"/>
  <c r="H92" i="3"/>
  <c r="I92" i="3"/>
  <c r="J92" i="3"/>
  <c r="H93" i="3"/>
  <c r="I93" i="3"/>
  <c r="J93" i="3"/>
  <c r="H94" i="3"/>
  <c r="I94" i="3"/>
  <c r="J94" i="3"/>
  <c r="H95" i="3"/>
  <c r="I95" i="3"/>
  <c r="J95" i="3"/>
  <c r="H96" i="3"/>
  <c r="I96" i="3"/>
  <c r="J96" i="3"/>
  <c r="H97" i="3"/>
  <c r="I97" i="3"/>
  <c r="J97" i="3"/>
  <c r="H98" i="3"/>
  <c r="I98" i="3"/>
  <c r="J98" i="3"/>
  <c r="H99" i="3"/>
  <c r="I99" i="3"/>
  <c r="J99" i="3"/>
  <c r="H100" i="3"/>
  <c r="I100" i="3"/>
  <c r="J100" i="3"/>
  <c r="H101" i="3"/>
  <c r="I101" i="3"/>
  <c r="J101" i="3"/>
  <c r="H102" i="3"/>
  <c r="I102" i="3"/>
  <c r="J102" i="3"/>
  <c r="H103" i="3"/>
  <c r="I103" i="3"/>
  <c r="J103" i="3"/>
  <c r="H104" i="3"/>
  <c r="I104" i="3"/>
  <c r="J104" i="3"/>
  <c r="H105" i="3"/>
  <c r="I105" i="3"/>
  <c r="J105" i="3"/>
  <c r="H106" i="3"/>
  <c r="I106" i="3"/>
  <c r="J106" i="3"/>
  <c r="H107" i="3"/>
  <c r="I107" i="3"/>
  <c r="J107" i="3"/>
  <c r="H108" i="3"/>
  <c r="I108" i="3"/>
  <c r="J108" i="3"/>
  <c r="H109" i="3"/>
  <c r="I109" i="3"/>
  <c r="J109" i="3"/>
  <c r="H110" i="3"/>
  <c r="I110" i="3"/>
  <c r="J110" i="3"/>
  <c r="H111" i="3"/>
  <c r="I111" i="3"/>
  <c r="J111" i="3"/>
  <c r="H112" i="3"/>
  <c r="I112" i="3"/>
  <c r="J112" i="3"/>
  <c r="H113" i="3"/>
  <c r="I113" i="3"/>
  <c r="J113" i="3"/>
  <c r="H114" i="3"/>
  <c r="I114" i="3"/>
  <c r="J114" i="3"/>
  <c r="H115" i="3"/>
  <c r="I115" i="3"/>
  <c r="J115" i="3"/>
  <c r="H116" i="3"/>
  <c r="I116" i="3"/>
  <c r="J116" i="3"/>
  <c r="H117" i="3"/>
  <c r="I117" i="3"/>
  <c r="J117" i="3"/>
  <c r="H118" i="3"/>
  <c r="I118" i="3"/>
  <c r="J118" i="3"/>
  <c r="H119" i="3"/>
  <c r="I119" i="3"/>
  <c r="J119" i="3"/>
  <c r="H120" i="3"/>
  <c r="I120" i="3"/>
  <c r="J120" i="3"/>
  <c r="H121" i="3"/>
  <c r="I121" i="3"/>
  <c r="J121" i="3"/>
  <c r="H122" i="3"/>
  <c r="I122" i="3"/>
  <c r="J122" i="3"/>
  <c r="H123" i="3"/>
  <c r="I123" i="3"/>
  <c r="J123" i="3"/>
  <c r="H124" i="3"/>
  <c r="I124" i="3"/>
  <c r="J124" i="3"/>
  <c r="H125" i="3"/>
  <c r="I125" i="3"/>
  <c r="J125" i="3"/>
  <c r="H126" i="3"/>
  <c r="I126" i="3"/>
  <c r="J126" i="3"/>
  <c r="H127" i="3"/>
  <c r="I127" i="3"/>
  <c r="J127" i="3"/>
  <c r="H128" i="3"/>
  <c r="I128" i="3"/>
  <c r="J128" i="3"/>
  <c r="H129" i="3"/>
  <c r="I129" i="3"/>
  <c r="J129" i="3"/>
  <c r="H130" i="3"/>
  <c r="I130" i="3"/>
  <c r="J130" i="3"/>
  <c r="H131" i="3"/>
  <c r="I131" i="3"/>
  <c r="J131" i="3"/>
  <c r="H132" i="3"/>
  <c r="I132" i="3"/>
  <c r="J132" i="3"/>
  <c r="H133" i="3"/>
  <c r="I133" i="3"/>
  <c r="J133" i="3"/>
  <c r="H134" i="3"/>
  <c r="I134" i="3"/>
  <c r="J134" i="3"/>
  <c r="H135" i="3"/>
  <c r="I135" i="3"/>
  <c r="J135" i="3"/>
  <c r="H136" i="3"/>
  <c r="I136" i="3"/>
  <c r="J136" i="3"/>
  <c r="H137" i="3"/>
  <c r="I137" i="3"/>
  <c r="J137" i="3"/>
  <c r="H138" i="3"/>
  <c r="I138" i="3"/>
  <c r="J138" i="3"/>
  <c r="H139" i="3"/>
  <c r="I139" i="3"/>
  <c r="J139" i="3"/>
  <c r="H140" i="3"/>
  <c r="I140" i="3"/>
  <c r="J140" i="3"/>
  <c r="H141" i="3"/>
  <c r="I141" i="3"/>
  <c r="J141" i="3"/>
  <c r="H142" i="3"/>
  <c r="I142" i="3"/>
  <c r="J142" i="3"/>
  <c r="H143" i="3"/>
  <c r="I143" i="3"/>
  <c r="J143" i="3"/>
  <c r="H144" i="3"/>
  <c r="I144" i="3"/>
  <c r="J144" i="3"/>
  <c r="H145" i="3"/>
  <c r="I145" i="3"/>
  <c r="J145" i="3"/>
  <c r="H146" i="3"/>
  <c r="I146" i="3"/>
  <c r="J146" i="3"/>
  <c r="H147" i="3"/>
  <c r="I147" i="3"/>
  <c r="J147" i="3"/>
  <c r="H148" i="3"/>
  <c r="I148" i="3"/>
  <c r="J148" i="3"/>
  <c r="H149" i="3"/>
  <c r="I149" i="3"/>
  <c r="J149" i="3"/>
  <c r="H150" i="3"/>
  <c r="I150" i="3"/>
  <c r="J150" i="3"/>
  <c r="H151" i="3"/>
  <c r="I151" i="3"/>
  <c r="J151" i="3"/>
  <c r="H152" i="3"/>
  <c r="I152" i="3"/>
  <c r="J152" i="3"/>
  <c r="H153" i="3"/>
  <c r="I153" i="3"/>
  <c r="J153" i="3"/>
  <c r="H154" i="3"/>
  <c r="I154" i="3"/>
  <c r="J154" i="3"/>
  <c r="H155" i="3"/>
  <c r="I155" i="3"/>
  <c r="J155" i="3"/>
  <c r="H156" i="3"/>
  <c r="I156" i="3"/>
  <c r="J156" i="3"/>
  <c r="H157" i="3"/>
  <c r="I157" i="3"/>
  <c r="J157" i="3"/>
  <c r="H158" i="3"/>
  <c r="I158" i="3"/>
  <c r="J158" i="3"/>
  <c r="H159" i="3"/>
  <c r="I159" i="3"/>
  <c r="J159" i="3"/>
  <c r="H160" i="3"/>
  <c r="I160" i="3"/>
  <c r="J160" i="3"/>
  <c r="H161" i="3"/>
  <c r="I161" i="3"/>
  <c r="J161" i="3"/>
  <c r="H162" i="3"/>
  <c r="I162" i="3"/>
  <c r="J162" i="3"/>
  <c r="H163" i="3"/>
  <c r="I163" i="3"/>
  <c r="J163" i="3"/>
  <c r="H164" i="3"/>
  <c r="I164" i="3"/>
  <c r="J164" i="3"/>
  <c r="H165" i="3"/>
  <c r="I165" i="3"/>
  <c r="J165" i="3"/>
  <c r="H166" i="3"/>
  <c r="I166" i="3"/>
  <c r="J166" i="3"/>
  <c r="H167" i="3"/>
  <c r="I167" i="3"/>
  <c r="J167" i="3"/>
  <c r="H168" i="3"/>
  <c r="I168" i="3"/>
  <c r="J168" i="3"/>
  <c r="H169" i="3"/>
  <c r="I169" i="3"/>
  <c r="J169" i="3"/>
  <c r="H170" i="3"/>
  <c r="I170" i="3"/>
  <c r="J170" i="3"/>
  <c r="H171" i="3"/>
  <c r="I171" i="3"/>
  <c r="J171" i="3"/>
  <c r="H172" i="3"/>
  <c r="I172" i="3"/>
  <c r="J172" i="3"/>
  <c r="H173" i="3"/>
  <c r="I173" i="3"/>
  <c r="J173" i="3"/>
  <c r="H174" i="3"/>
  <c r="I174" i="3"/>
  <c r="J174" i="3"/>
  <c r="H175" i="3"/>
  <c r="I175" i="3"/>
  <c r="J175" i="3"/>
  <c r="H176" i="3"/>
  <c r="I176" i="3"/>
  <c r="J176" i="3"/>
  <c r="H177" i="3"/>
  <c r="I177" i="3"/>
  <c r="J177" i="3"/>
  <c r="H178" i="3"/>
  <c r="I178" i="3"/>
  <c r="J178" i="3"/>
  <c r="H179" i="3"/>
  <c r="I179" i="3"/>
  <c r="J179" i="3"/>
  <c r="H180" i="3"/>
  <c r="I180" i="3"/>
  <c r="J180" i="3"/>
  <c r="H181" i="3"/>
  <c r="I181" i="3"/>
  <c r="J181" i="3"/>
  <c r="H182" i="3"/>
  <c r="I182" i="3"/>
  <c r="J182" i="3"/>
  <c r="H183" i="3"/>
  <c r="I183" i="3"/>
  <c r="J183" i="3"/>
  <c r="H184" i="3"/>
  <c r="I184" i="3"/>
  <c r="J184" i="3"/>
  <c r="H185" i="3"/>
  <c r="I185" i="3"/>
  <c r="J185" i="3"/>
  <c r="H186" i="3"/>
  <c r="I186" i="3"/>
  <c r="J186" i="3"/>
  <c r="H187" i="3"/>
  <c r="I187" i="3"/>
  <c r="J187" i="3"/>
  <c r="H188" i="3"/>
  <c r="I188" i="3"/>
  <c r="J188" i="3"/>
  <c r="H189" i="3"/>
  <c r="I189" i="3"/>
  <c r="J189" i="3"/>
  <c r="H190" i="3"/>
  <c r="I190" i="3"/>
  <c r="J190" i="3"/>
  <c r="H191" i="3"/>
  <c r="I191" i="3"/>
  <c r="J191" i="3"/>
  <c r="H192" i="3"/>
  <c r="I192" i="3"/>
  <c r="J192" i="3"/>
  <c r="H193" i="3"/>
  <c r="I193" i="3"/>
  <c r="J193" i="3"/>
  <c r="H194" i="3"/>
  <c r="I194" i="3"/>
  <c r="J194" i="3"/>
  <c r="H195" i="3"/>
  <c r="I195" i="3"/>
  <c r="J195" i="3"/>
  <c r="H196" i="3"/>
  <c r="I196" i="3"/>
  <c r="J196" i="3"/>
  <c r="H197" i="3"/>
  <c r="I197" i="3"/>
  <c r="J197" i="3"/>
  <c r="H198" i="3"/>
  <c r="I198" i="3"/>
  <c r="J198" i="3"/>
  <c r="H199" i="3"/>
  <c r="I199" i="3"/>
  <c r="J199" i="3"/>
  <c r="H200" i="3"/>
  <c r="I200" i="3"/>
  <c r="J200" i="3"/>
  <c r="H201" i="3"/>
  <c r="I201" i="3"/>
  <c r="J201" i="3"/>
  <c r="H202" i="3"/>
  <c r="I202" i="3"/>
  <c r="J202" i="3"/>
  <c r="H203" i="3"/>
  <c r="I203" i="3"/>
  <c r="J203" i="3"/>
  <c r="H204" i="3"/>
  <c r="I204" i="3"/>
  <c r="J204" i="3"/>
  <c r="H205" i="3"/>
  <c r="I205" i="3"/>
  <c r="J205" i="3"/>
  <c r="H206" i="3"/>
  <c r="I206" i="3"/>
  <c r="J206" i="3"/>
  <c r="H207" i="3"/>
  <c r="I207" i="3"/>
  <c r="J207" i="3"/>
  <c r="H208" i="3"/>
  <c r="I208" i="3"/>
  <c r="J208" i="3"/>
  <c r="H209" i="3"/>
  <c r="I209" i="3"/>
  <c r="J209" i="3"/>
  <c r="H210" i="3"/>
  <c r="I210" i="3"/>
  <c r="J210" i="3"/>
  <c r="H211" i="3"/>
  <c r="I211" i="3"/>
  <c r="J211" i="3"/>
  <c r="H212" i="3"/>
  <c r="I212" i="3"/>
  <c r="J212" i="3"/>
  <c r="H213" i="3"/>
  <c r="I213" i="3"/>
  <c r="J213" i="3"/>
  <c r="H214" i="3"/>
  <c r="I214" i="3"/>
  <c r="J214" i="3"/>
  <c r="H215" i="3"/>
  <c r="I215" i="3"/>
  <c r="J215" i="3"/>
  <c r="H216" i="3"/>
  <c r="I216" i="3"/>
  <c r="J216" i="3"/>
  <c r="H217" i="3"/>
  <c r="I217" i="3"/>
  <c r="J217" i="3"/>
  <c r="H218" i="3"/>
  <c r="I218" i="3"/>
  <c r="J218" i="3"/>
  <c r="H219" i="3"/>
  <c r="I219" i="3"/>
  <c r="J219" i="3"/>
  <c r="H220" i="3"/>
  <c r="I220" i="3"/>
  <c r="J220" i="3"/>
  <c r="H221" i="3"/>
  <c r="I221" i="3"/>
  <c r="J221" i="3"/>
  <c r="H222" i="3"/>
  <c r="I222" i="3"/>
  <c r="J222" i="3"/>
  <c r="H223" i="3"/>
  <c r="I223" i="3"/>
  <c r="J223" i="3"/>
  <c r="H224" i="3"/>
  <c r="I224" i="3"/>
  <c r="J224" i="3"/>
  <c r="H225" i="3"/>
  <c r="I225" i="3"/>
  <c r="J225" i="3"/>
  <c r="H226" i="3"/>
  <c r="I226" i="3"/>
  <c r="J226" i="3"/>
  <c r="H227" i="3"/>
  <c r="I227" i="3"/>
  <c r="J227" i="3"/>
  <c r="H228" i="3"/>
  <c r="I228" i="3"/>
  <c r="J228" i="3"/>
  <c r="H229" i="3"/>
  <c r="I229" i="3"/>
  <c r="J229" i="3"/>
  <c r="H230" i="3"/>
  <c r="I230" i="3"/>
  <c r="J230" i="3"/>
  <c r="H231" i="3"/>
  <c r="I231" i="3"/>
  <c r="J231" i="3"/>
  <c r="H232" i="3"/>
  <c r="I232" i="3"/>
  <c r="J232" i="3"/>
  <c r="H233" i="3"/>
  <c r="I233" i="3"/>
  <c r="J233" i="3"/>
  <c r="H234" i="3"/>
  <c r="I234" i="3"/>
  <c r="J234" i="3"/>
  <c r="H235" i="3"/>
  <c r="I235" i="3"/>
  <c r="J235" i="3"/>
  <c r="H236" i="3"/>
  <c r="I236" i="3"/>
  <c r="J236" i="3"/>
  <c r="H237" i="3"/>
  <c r="I237" i="3"/>
  <c r="J237" i="3"/>
  <c r="H238" i="3"/>
  <c r="I238" i="3"/>
  <c r="J238" i="3"/>
  <c r="H239" i="3"/>
  <c r="I239" i="3"/>
  <c r="J239" i="3"/>
  <c r="H240" i="3"/>
  <c r="I240" i="3"/>
  <c r="J240" i="3"/>
  <c r="H241" i="3"/>
  <c r="I241" i="3"/>
  <c r="J241" i="3"/>
  <c r="H242" i="3"/>
  <c r="I242" i="3"/>
  <c r="J242" i="3"/>
  <c r="H243" i="3"/>
  <c r="I243" i="3"/>
  <c r="J243" i="3"/>
  <c r="H244" i="3"/>
  <c r="I244" i="3"/>
  <c r="J244" i="3"/>
  <c r="H245" i="3"/>
  <c r="I245" i="3"/>
  <c r="J245" i="3"/>
  <c r="H246" i="3"/>
  <c r="I246" i="3"/>
  <c r="J246" i="3"/>
  <c r="H247" i="3"/>
  <c r="I247" i="3"/>
  <c r="J247" i="3"/>
  <c r="H248" i="3"/>
  <c r="I248" i="3"/>
  <c r="J248" i="3"/>
  <c r="H249" i="3"/>
  <c r="I249" i="3"/>
  <c r="J249" i="3"/>
  <c r="H250" i="3"/>
  <c r="I250" i="3"/>
  <c r="J250" i="3"/>
  <c r="H251" i="3"/>
  <c r="I251" i="3"/>
  <c r="J251" i="3"/>
  <c r="H252" i="3"/>
  <c r="I252" i="3"/>
  <c r="J252" i="3"/>
  <c r="H253" i="3"/>
  <c r="I253" i="3"/>
  <c r="J253" i="3"/>
  <c r="H254" i="3"/>
  <c r="I254" i="3"/>
  <c r="J254" i="3"/>
  <c r="H255" i="3"/>
  <c r="I255" i="3"/>
  <c r="J255" i="3"/>
  <c r="H256" i="3"/>
  <c r="I256" i="3"/>
  <c r="J256" i="3"/>
  <c r="H257" i="3"/>
  <c r="I257" i="3"/>
  <c r="J257" i="3"/>
  <c r="H258" i="3"/>
  <c r="I258" i="3"/>
  <c r="J258" i="3"/>
  <c r="H259" i="3"/>
  <c r="I259" i="3"/>
  <c r="J259" i="3"/>
  <c r="H260" i="3"/>
  <c r="I260" i="3"/>
  <c r="J260" i="3"/>
  <c r="H261" i="3"/>
  <c r="I261" i="3"/>
  <c r="J261" i="3"/>
  <c r="H262" i="3"/>
  <c r="I262" i="3"/>
  <c r="J262" i="3"/>
  <c r="H263" i="3"/>
  <c r="I263" i="3"/>
  <c r="J263" i="3"/>
  <c r="H264" i="3"/>
  <c r="I264" i="3"/>
  <c r="J264" i="3"/>
  <c r="H265" i="3"/>
  <c r="I265" i="3"/>
  <c r="J265" i="3"/>
  <c r="H266" i="3"/>
  <c r="I266" i="3"/>
  <c r="J266" i="3"/>
  <c r="H267" i="3"/>
  <c r="I267" i="3"/>
  <c r="J267" i="3"/>
  <c r="J29" i="3"/>
  <c r="I29" i="3"/>
  <c r="H29" i="3"/>
  <c r="J33" i="3" l="1"/>
  <c r="J32" i="3"/>
  <c r="G7" i="3"/>
  <c r="J31" i="3"/>
  <c r="G6" i="3"/>
  <c r="C10" i="3" l="1"/>
  <c r="G16" i="3" l="1"/>
  <c r="G17" i="3" l="1"/>
  <c r="C21" i="3" s="1"/>
</calcChain>
</file>

<file path=xl/comments1.xml><?xml version="1.0" encoding="utf-8"?>
<comments xmlns="http://schemas.openxmlformats.org/spreadsheetml/2006/main">
  <authors>
    <author>Subramaniam Gururaj Nath (IFIN ATV SW LLD3)</author>
  </authors>
  <commentList>
    <comment ref="C8" authorId="0">
      <text>
        <r>
          <rPr>
            <sz val="9"/>
            <color indexed="81"/>
            <rFont val="Tahoma"/>
            <family val="2"/>
          </rPr>
          <t xml:space="preserve">Mention the maximum number of interruptions that might occur in one particular sector switch. 
Recommended threshold size without interruptions will be multiplied by "maximum number of interruptions + 1" times to get the recommented threshold size.
This calculation assumes the worst case i.e., the threshold area is completely filled when the interruption occurs.
</t>
        </r>
      </text>
    </comment>
    <comment ref="C18" authorId="0">
      <text>
        <r>
          <rPr>
            <b/>
            <sz val="9"/>
            <color indexed="81"/>
            <rFont val="Tahoma"/>
            <family val="2"/>
          </rPr>
          <t>This is the average number of times a sector switch will be interrupted out of every 100 sector switches.</t>
        </r>
      </text>
    </comment>
  </commentList>
</comments>
</file>

<file path=xl/sharedStrings.xml><?xml version="1.0" encoding="utf-8"?>
<sst xmlns="http://schemas.openxmlformats.org/spreadsheetml/2006/main" count="72" uniqueCount="63">
  <si>
    <t>FEE_BlockConfiguration</t>
  </si>
  <si>
    <t>COMMENT</t>
  </si>
  <si>
    <t>Page size</t>
  </si>
  <si>
    <t>README</t>
  </si>
  <si>
    <t>END OF README</t>
  </si>
  <si>
    <t>User Input:</t>
  </si>
  <si>
    <t>Cycle to Retention Table</t>
  </si>
  <si>
    <t>Flash Retention Calculator for AURIX FEE</t>
  </si>
  <si>
    <t>Application usable pages per FEE sector</t>
  </si>
  <si>
    <t>Total Page Writes</t>
  </si>
  <si>
    <t>bytes</t>
  </si>
  <si>
    <t>Net data per page</t>
  </si>
  <si>
    <t>Block management overhead per block (header page and marker page)</t>
  </si>
  <si>
    <t>State page overhead per FEE sector (Erased state page and Valid state page)</t>
  </si>
  <si>
    <t>Cycles</t>
  </si>
  <si>
    <t>Years</t>
  </si>
  <si>
    <t>Number of page writes required for the application as per configuration</t>
  </si>
  <si>
    <t>Constants</t>
  </si>
  <si>
    <t>Expected retention (in years)</t>
  </si>
  <si>
    <t>BLK_SIZE
[bytes]</t>
  </si>
  <si>
    <t>BLK_NUMBER
[uint16]</t>
  </si>
  <si>
    <t>Actual retention as per configuration</t>
  </si>
  <si>
    <t>The FEE_Calculator takes as input the block configuration (as defined by AUTOSAR) that contains for each logical block a block number, its size in bytes, its expected number of write-cycles and block type (Normal or Immediate). 
Additional inputs are the threshold (in bytes) for the garbage collection (see FEE User Manual) and the expected retention time. 
From these inputs, the FEE_Calculator statically evaluates whether the expected retention time is feasible or not and also whether the configured threshold size is sufficient or not. 
Note: 
(1) As the flash cells are evenly used the complete DF_EEPROM has one retention time. It is not possible to support different retention times for different blocks.
(2) The threshold area is reserved basically to accommodate the immediate block’s write requests which may arise during garbage collection. FEE_Calculator provides the (minimum) value of threshold size to be configured by statically analysing the block configuration.
Integrator may configure a higher value of threshold size to take care of Interrupted garbage collection scenarios.
(3) FEE Sector: The DF_EEPROM area is logically divided into two parts referred to as “FEE sectors” for implementing the “double sector algorithm”. In this document “sector” refers to “FEE sector”, unless specified explicitly as “physical sector”.</t>
  </si>
  <si>
    <t xml:space="preserve">
</t>
  </si>
  <si>
    <t>Size of DF_EEPROM in Bytes (i.e., configured value of FlsTotalSize)</t>
  </si>
  <si>
    <t>Calculation of minimum value of threshold area:</t>
  </si>
  <si>
    <t>Minimum threshold area to be configured (as per the static analysis of the block configuration) = 
Sum of area required for all the immediate blocks + area required for the largest immediate block + size of 1 word line.</t>
  </si>
  <si>
    <t xml:space="preserve">Step 3:
Number of erase cycles required = 
The number of page writes that must be supported (calculated in the first step) divided by the number of effectively usable flash pages in DF_EEPROM (i.e., 2 FEE sectors) (calculated in the second step).
</t>
  </si>
  <si>
    <t>The Excel cells with light green coloured background are the cells where the user needs to enter the input.</t>
  </si>
  <si>
    <t>Evaluation of Dflash retention:</t>
  </si>
  <si>
    <t>Step 1: 
For each block the number of flash pages are calculated. This number is multiplied with the write cycles of the block. The sum of this number, for all configured logical blocks is the number of page writes that must be supported by the Dflash.</t>
  </si>
  <si>
    <t xml:space="preserve">Step 2:
Effectively usable Dflash area per sector = size of the sector minus the sum of the following areas:
    - Area occupied by the 2 state pages i.e., 1024 bytes
    - Threshold area minus one page (assuming one page of the threshold area is used while garbage collection is triggered (but on an average it may be more than one page))
    - When the garbage collection is triggered, all active data (i.e. all configured blocks) are copied to the beginning of the next sector. So the area occupied by the data set cannot be counted for application data storage.
</t>
  </si>
  <si>
    <t>Configured threshold size in Bytes (FeeThresholdValue)</t>
  </si>
  <si>
    <t>Size of the biggest Immediate block (in Bytes)</t>
  </si>
  <si>
    <t>Recommended (minimum) threshold size (in Bytes)</t>
  </si>
  <si>
    <t>Total size of Immediate blocks (in Bytes)</t>
  </si>
  <si>
    <t>NORMAL</t>
  </si>
  <si>
    <t>IMMEDIATE</t>
  </si>
  <si>
    <t>BLOCK_TYPE
[NORMAL/IMMEDIATE]</t>
  </si>
  <si>
    <t>Flash pages
of Normal Blocks</t>
  </si>
  <si>
    <t>Flash pages of Immediate Blocks</t>
  </si>
  <si>
    <t>WRITE_CYCLES
[uint32]
(non-zero value)</t>
  </si>
  <si>
    <t>Maximum number of interruptions during one sector switch</t>
  </si>
  <si>
    <t>Percentage of sector switch interruptions</t>
  </si>
  <si>
    <t>Effective number of Erase cycles needed</t>
  </si>
  <si>
    <t>Number of Erase cycles needed</t>
  </si>
  <si>
    <t>Revision History</t>
  </si>
  <si>
    <t>Sl No</t>
  </si>
  <si>
    <t>Version</t>
  </si>
  <si>
    <t>Date</t>
  </si>
  <si>
    <t>Author</t>
  </si>
  <si>
    <t>Changes</t>
  </si>
  <si>
    <t>1.0.0</t>
  </si>
  <si>
    <t>1.0.1</t>
  </si>
  <si>
    <t>Initial version</t>
  </si>
  <si>
    <t>Gururaj Nath S</t>
  </si>
  <si>
    <t>Added additional input for disturbances during sector switch</t>
  </si>
  <si>
    <t>Note: Please note that this tool is only for demo purpose.</t>
  </si>
  <si>
    <t>Fee_RetentionCalculator.xlsx for FEE driver of AURIX devices</t>
  </si>
  <si>
    <t xml:space="preserve">Step 4:
This figure is looked-up in the cycle to retention table: if less or equal to 125000 cycles a retention of 10 years (data sheet figures).
Please take note that only the data sheet figures are binding (because retention depends not only on the cycles but also on other conditions as the required FIT rate or the temperature profile).
</t>
  </si>
  <si>
    <t>1.0.2</t>
  </si>
  <si>
    <t>Vinay C</t>
  </si>
  <si>
    <t>retention cycle table updated for 0000051113-17</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</si>
</sst>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name val="Arial"/>
    </font>
    <font>
      <sz val="10"/>
      <name val="Arial"/>
      <family val="2"/>
    </font>
    <font>
      <sz val="8"/>
      <name val="Arial"/>
      <family val="2"/>
    </font>
    <font>
      <b/>
      <sz val="18"/>
      <name val="Arial"/>
      <family val="2"/>
    </font>
    <font>
      <b/>
      <sz val="10"/>
      <name val="Arial"/>
      <family val="2"/>
    </font>
    <font>
      <sz val="18"/>
      <name val="Arial"/>
      <family val="2"/>
    </font>
    <font>
      <i/>
      <sz val="10"/>
      <name val="Arial"/>
      <family val="2"/>
    </font>
    <font>
      <sz val="10"/>
      <name val="Arial"/>
      <family val="2"/>
    </font>
    <font>
      <sz val="9"/>
      <color indexed="81"/>
      <name val="Tahoma"/>
      <family val="2"/>
    </font>
    <font>
      <b/>
      <sz val="9"/>
      <color indexed="81"/>
      <name val="Tahoma"/>
      <family val="2"/>
    </font>
    <font>
      <b/>
      <sz val="11"/>
      <color theme="1"/>
      <name val="Calibri"/>
      <family val="2"/>
      <scheme val="minor"/>
    </font>
  </fonts>
  <fills count="12">
    <fill>
      <patternFill patternType="none"/>
    </fill>
    <fill>
      <patternFill patternType="gray125"/>
    </fill>
    <fill>
      <patternFill patternType="solid">
        <fgColor indexed="42"/>
        <bgColor indexed="42"/>
      </patternFill>
    </fill>
    <fill>
      <patternFill patternType="solid">
        <fgColor indexed="9"/>
        <bgColor indexed="64"/>
      </patternFill>
    </fill>
    <fill>
      <patternFill patternType="solid">
        <fgColor theme="0"/>
        <bgColor indexed="42"/>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FFCC"/>
        <bgColor indexed="64"/>
      </patternFill>
    </fill>
    <fill>
      <patternFill patternType="solid">
        <fgColor rgb="FFCBFBFD"/>
        <bgColor indexed="64"/>
      </patternFill>
    </fill>
    <fill>
      <patternFill patternType="solid">
        <fgColor rgb="FFFCFEB0"/>
        <bgColor indexed="64"/>
      </patternFill>
    </fill>
    <fill>
      <patternFill patternType="solid">
        <fgColor rgb="FFD9FFD9"/>
        <bgColor indexed="42"/>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right/>
      <top style="thin">
        <color indexed="64"/>
      </top>
      <bottom style="medium">
        <color indexed="64"/>
      </bottom>
      <diagonal/>
    </border>
  </borders>
  <cellStyleXfs count="1">
    <xf numFmtId="0" fontId="0" fillId="0" borderId="0"/>
  </cellStyleXfs>
  <cellXfs count="160">
    <xf numFmtId="0" fontId="0" fillId="0" borderId="0" xfId="0"/>
    <xf numFmtId="0" fontId="0" fillId="3" borderId="0" xfId="0" applyFill="1" applyBorder="1"/>
    <xf numFmtId="0" fontId="0" fillId="3" borderId="0" xfId="0" applyFill="1" applyBorder="1" applyAlignment="1">
      <alignment wrapText="1"/>
    </xf>
    <xf numFmtId="0" fontId="0" fillId="0" borderId="0" xfId="0" applyAlignment="1">
      <alignment horizontal="center"/>
    </xf>
    <xf numFmtId="0" fontId="0" fillId="5" borderId="8" xfId="0" applyFill="1" applyBorder="1" applyAlignment="1">
      <alignment horizontal="center" vertical="center"/>
    </xf>
    <xf numFmtId="0" fontId="7" fillId="5" borderId="8" xfId="0" applyFont="1" applyFill="1" applyBorder="1" applyAlignment="1">
      <alignment horizontal="center" vertical="center"/>
    </xf>
    <xf numFmtId="0" fontId="6" fillId="0" borderId="0" xfId="0" applyFont="1"/>
    <xf numFmtId="0" fontId="0" fillId="2" borderId="7" xfId="0" applyFill="1" applyBorder="1" applyAlignment="1">
      <alignment horizontal="center"/>
    </xf>
    <xf numFmtId="0" fontId="0" fillId="2" borderId="4" xfId="0" applyFill="1" applyBorder="1" applyAlignment="1">
      <alignment horizontal="center"/>
    </xf>
    <xf numFmtId="0" fontId="0" fillId="8" borderId="17" xfId="0" applyFill="1" applyBorder="1" applyAlignment="1">
      <alignment horizontal="center" vertical="center"/>
    </xf>
    <xf numFmtId="0" fontId="0" fillId="8" borderId="7" xfId="0" applyFill="1" applyBorder="1" applyAlignment="1">
      <alignment horizontal="center" vertical="center"/>
    </xf>
    <xf numFmtId="0" fontId="0" fillId="8" borderId="18" xfId="0" applyFill="1" applyBorder="1" applyAlignment="1">
      <alignment horizontal="center" vertical="center"/>
    </xf>
    <xf numFmtId="0" fontId="0" fillId="8" borderId="23" xfId="0" applyFill="1" applyBorder="1" applyAlignment="1">
      <alignment horizontal="center" vertical="center"/>
    </xf>
    <xf numFmtId="0" fontId="0" fillId="8" borderId="19" xfId="0" applyFill="1" applyBorder="1" applyAlignment="1">
      <alignment horizontal="center" vertical="center"/>
    </xf>
    <xf numFmtId="0" fontId="0" fillId="8" borderId="8" xfId="0" applyFill="1" applyBorder="1" applyAlignment="1">
      <alignment horizontal="center" vertical="center"/>
    </xf>
    <xf numFmtId="0" fontId="1" fillId="8" borderId="26" xfId="0" applyFont="1" applyFill="1" applyBorder="1" applyAlignment="1">
      <alignment horizontal="center"/>
    </xf>
    <xf numFmtId="0" fontId="0" fillId="7" borderId="29" xfId="0" applyFill="1" applyBorder="1"/>
    <xf numFmtId="0" fontId="0" fillId="7" borderId="32" xfId="0" applyFill="1" applyBorder="1"/>
    <xf numFmtId="0" fontId="0" fillId="7" borderId="32" xfId="0" applyFill="1" applyBorder="1" applyAlignment="1">
      <alignment horizontal="center"/>
    </xf>
    <xf numFmtId="0" fontId="0" fillId="7" borderId="30" xfId="0" applyFill="1" applyBorder="1"/>
    <xf numFmtId="0" fontId="3" fillId="7" borderId="22" xfId="0" applyFont="1" applyFill="1" applyBorder="1" applyAlignment="1">
      <alignment vertical="center"/>
    </xf>
    <xf numFmtId="0" fontId="0" fillId="7" borderId="22" xfId="0" applyFill="1" applyBorder="1"/>
    <xf numFmtId="0" fontId="6" fillId="7" borderId="22" xfId="0" applyFont="1" applyFill="1" applyBorder="1"/>
    <xf numFmtId="0" fontId="0" fillId="7" borderId="27" xfId="0" applyFill="1" applyBorder="1"/>
    <xf numFmtId="0" fontId="0" fillId="7" borderId="0" xfId="0" applyFill="1" applyBorder="1"/>
    <xf numFmtId="0" fontId="0" fillId="7" borderId="28" xfId="0" applyFill="1" applyBorder="1"/>
    <xf numFmtId="0" fontId="0" fillId="7" borderId="31" xfId="0" applyFill="1" applyBorder="1"/>
    <xf numFmtId="0" fontId="0" fillId="7" borderId="28" xfId="0" applyFill="1" applyBorder="1" applyAlignment="1">
      <alignment horizontal="center"/>
    </xf>
    <xf numFmtId="0" fontId="0" fillId="7" borderId="33" xfId="0" applyFill="1" applyBorder="1"/>
    <xf numFmtId="0" fontId="0" fillId="7" borderId="0" xfId="0" applyFill="1" applyBorder="1" applyAlignment="1">
      <alignment horizontal="center"/>
    </xf>
    <xf numFmtId="0" fontId="4" fillId="7" borderId="0" xfId="0" applyFont="1" applyFill="1" applyBorder="1"/>
    <xf numFmtId="0" fontId="3" fillId="7" borderId="0" xfId="0" applyFont="1" applyFill="1" applyBorder="1" applyAlignment="1">
      <alignment horizontal="center"/>
    </xf>
    <xf numFmtId="0" fontId="7" fillId="7" borderId="0" xfId="0" applyFont="1" applyFill="1" applyBorder="1" applyAlignment="1">
      <alignment vertical="center" wrapText="1"/>
    </xf>
    <xf numFmtId="0" fontId="7" fillId="5" borderId="17" xfId="0" applyFont="1" applyFill="1" applyBorder="1" applyAlignment="1">
      <alignment horizontal="center" vertical="center"/>
    </xf>
    <xf numFmtId="0" fontId="0" fillId="5" borderId="7" xfId="0" applyFill="1" applyBorder="1" applyAlignment="1">
      <alignment horizontal="center" vertical="center"/>
    </xf>
    <xf numFmtId="0" fontId="7" fillId="5" borderId="20" xfId="0" applyFont="1" applyFill="1" applyBorder="1" applyAlignment="1">
      <alignment horizontal="center" vertical="center"/>
    </xf>
    <xf numFmtId="0" fontId="7" fillId="5" borderId="18" xfId="0" applyFont="1" applyFill="1" applyBorder="1" applyAlignment="1">
      <alignment horizontal="center" vertical="center"/>
    </xf>
    <xf numFmtId="0" fontId="0" fillId="5" borderId="23" xfId="0" applyFill="1" applyBorder="1" applyAlignment="1">
      <alignment horizontal="center" vertical="center"/>
    </xf>
    <xf numFmtId="0" fontId="7" fillId="5" borderId="21" xfId="0" applyFont="1" applyFill="1" applyBorder="1" applyAlignment="1">
      <alignment horizontal="center" vertical="center"/>
    </xf>
    <xf numFmtId="0" fontId="4" fillId="9" borderId="4" xfId="0" applyFont="1" applyFill="1" applyBorder="1" applyAlignment="1">
      <alignment horizontal="center" vertical="center"/>
    </xf>
    <xf numFmtId="0" fontId="7" fillId="9" borderId="4" xfId="0" applyFont="1" applyFill="1" applyBorder="1" applyAlignment="1">
      <alignment horizontal="center" vertical="center" wrapText="1"/>
    </xf>
    <xf numFmtId="0" fontId="0" fillId="11" borderId="10" xfId="0" applyFill="1" applyBorder="1" applyAlignment="1">
      <alignment horizontal="center" vertical="center"/>
    </xf>
    <xf numFmtId="0" fontId="0" fillId="11" borderId="11" xfId="0" applyFill="1" applyBorder="1" applyAlignment="1">
      <alignment horizontal="center" vertical="center"/>
    </xf>
    <xf numFmtId="3" fontId="0" fillId="11" borderId="11" xfId="0" applyNumberFormat="1" applyFill="1" applyBorder="1" applyAlignment="1">
      <alignment horizontal="center" vertical="center"/>
    </xf>
    <xf numFmtId="0" fontId="0" fillId="11" borderId="37" xfId="0" applyFill="1" applyBorder="1" applyAlignment="1">
      <alignment horizontal="center" vertical="center"/>
    </xf>
    <xf numFmtId="0" fontId="0" fillId="11" borderId="12" xfId="0" applyFill="1" applyBorder="1" applyAlignment="1">
      <alignment horizontal="center" vertical="center"/>
    </xf>
    <xf numFmtId="0" fontId="0" fillId="11" borderId="1" xfId="0" applyFill="1" applyBorder="1" applyAlignment="1">
      <alignment horizontal="center" vertical="center"/>
    </xf>
    <xf numFmtId="3" fontId="0" fillId="11" borderId="1" xfId="0" applyNumberFormat="1" applyFill="1" applyBorder="1" applyAlignment="1">
      <alignment horizontal="center" vertical="center"/>
    </xf>
    <xf numFmtId="0" fontId="0" fillId="11" borderId="3" xfId="0" applyFill="1" applyBorder="1" applyAlignment="1">
      <alignment horizontal="center" vertical="center"/>
    </xf>
    <xf numFmtId="0" fontId="0" fillId="11" borderId="14" xfId="0" applyFill="1" applyBorder="1" applyAlignment="1">
      <alignment horizontal="center" vertical="center"/>
    </xf>
    <xf numFmtId="0" fontId="0" fillId="11" borderId="15" xfId="0" applyFill="1" applyBorder="1" applyAlignment="1">
      <alignment horizontal="center" vertical="center"/>
    </xf>
    <xf numFmtId="3" fontId="0" fillId="11" borderId="15" xfId="0" applyNumberFormat="1" applyFill="1" applyBorder="1" applyAlignment="1">
      <alignment horizontal="center" vertical="center"/>
    </xf>
    <xf numFmtId="0" fontId="0" fillId="11" borderId="38" xfId="0" applyFill="1" applyBorder="1" applyAlignment="1">
      <alignment horizontal="center" vertical="center"/>
    </xf>
    <xf numFmtId="0" fontId="7" fillId="3" borderId="0" xfId="0" applyFont="1" applyFill="1" applyBorder="1" applyAlignment="1">
      <alignment wrapText="1"/>
    </xf>
    <xf numFmtId="0" fontId="7" fillId="0" borderId="0" xfId="0" applyFont="1"/>
    <xf numFmtId="0" fontId="7" fillId="3" borderId="4" xfId="0" applyFont="1" applyFill="1" applyBorder="1" applyAlignment="1">
      <alignment wrapText="1"/>
    </xf>
    <xf numFmtId="0" fontId="5" fillId="3" borderId="4" xfId="0" applyFont="1" applyFill="1" applyBorder="1" applyAlignment="1">
      <alignment horizontal="center"/>
    </xf>
    <xf numFmtId="0" fontId="6" fillId="3" borderId="0" xfId="0" applyFont="1" applyFill="1" applyBorder="1" applyAlignment="1">
      <alignment horizontal="center"/>
    </xf>
    <xf numFmtId="0" fontId="4" fillId="3" borderId="41" xfId="0" applyFont="1" applyFill="1" applyBorder="1" applyAlignment="1">
      <alignment wrapText="1"/>
    </xf>
    <xf numFmtId="0" fontId="4" fillId="3" borderId="41" xfId="0" applyFont="1" applyFill="1" applyBorder="1"/>
    <xf numFmtId="0" fontId="7" fillId="3" borderId="25" xfId="0" applyFont="1" applyFill="1" applyBorder="1" applyAlignment="1">
      <alignment wrapText="1"/>
    </xf>
    <xf numFmtId="0" fontId="0" fillId="3" borderId="25" xfId="0" applyFill="1" applyBorder="1" applyAlignment="1">
      <alignment wrapText="1"/>
    </xf>
    <xf numFmtId="0" fontId="7" fillId="3" borderId="25" xfId="0" applyFont="1" applyFill="1" applyBorder="1" applyAlignment="1">
      <alignment horizontal="left" vertical="center" wrapText="1"/>
    </xf>
    <xf numFmtId="0" fontId="0" fillId="0" borderId="25" xfId="0" applyBorder="1"/>
    <xf numFmtId="0" fontId="7" fillId="0" borderId="26" xfId="0" applyFont="1" applyBorder="1" applyAlignment="1">
      <alignment wrapText="1"/>
    </xf>
    <xf numFmtId="0" fontId="7" fillId="11" borderId="1" xfId="0" applyFont="1" applyFill="1" applyBorder="1" applyAlignment="1">
      <alignment horizontal="center" vertical="center"/>
    </xf>
    <xf numFmtId="0" fontId="0" fillId="2" borderId="41" xfId="0" applyFill="1" applyBorder="1" applyAlignment="1">
      <alignment horizontal="center"/>
    </xf>
    <xf numFmtId="0" fontId="1" fillId="8" borderId="7" xfId="0" applyFont="1" applyFill="1" applyBorder="1" applyAlignment="1">
      <alignment horizontal="center"/>
    </xf>
    <xf numFmtId="0" fontId="1" fillId="8" borderId="23" xfId="0" applyFont="1" applyFill="1" applyBorder="1" applyAlignment="1">
      <alignment horizontal="center"/>
    </xf>
    <xf numFmtId="0" fontId="1" fillId="8" borderId="8" xfId="0" applyFont="1" applyFill="1" applyBorder="1" applyAlignment="1">
      <alignment horizontal="center"/>
    </xf>
    <xf numFmtId="0" fontId="0" fillId="2" borderId="26" xfId="0" applyFill="1" applyBorder="1" applyAlignment="1">
      <alignment horizontal="left"/>
    </xf>
    <xf numFmtId="0" fontId="10" fillId="0" borderId="4" xfId="0" applyFont="1" applyBorder="1" applyAlignment="1">
      <alignment horizontal="center"/>
    </xf>
    <xf numFmtId="0" fontId="0" fillId="0" borderId="46" xfId="0" applyBorder="1" applyAlignment="1">
      <alignment horizontal="center" vertical="center"/>
    </xf>
    <xf numFmtId="0" fontId="0" fillId="0" borderId="23" xfId="0" applyBorder="1" applyAlignment="1">
      <alignment horizontal="center" vertical="center"/>
    </xf>
    <xf numFmtId="0" fontId="0" fillId="0" borderId="23" xfId="0" applyBorder="1" applyAlignment="1">
      <alignment horizontal="center" vertical="center" wrapText="1"/>
    </xf>
    <xf numFmtId="0" fontId="0" fillId="0" borderId="8" xfId="0" applyBorder="1" applyAlignment="1">
      <alignment horizontal="center" vertical="center"/>
    </xf>
    <xf numFmtId="0" fontId="10" fillId="0" borderId="9" xfId="0" applyFont="1" applyBorder="1" applyAlignment="1">
      <alignment horizontal="center"/>
    </xf>
    <xf numFmtId="0" fontId="0" fillId="0" borderId="47" xfId="0" applyBorder="1" applyAlignment="1">
      <alignment horizontal="center" vertical="center"/>
    </xf>
    <xf numFmtId="0" fontId="1" fillId="0" borderId="47" xfId="0" applyFont="1" applyBorder="1" applyAlignment="1">
      <alignment horizontal="center" vertical="center"/>
    </xf>
    <xf numFmtId="0" fontId="0" fillId="0" borderId="44" xfId="0" applyBorder="1" applyAlignment="1">
      <alignment vertical="center"/>
    </xf>
    <xf numFmtId="0" fontId="0" fillId="0" borderId="44" xfId="0" applyBorder="1" applyAlignment="1">
      <alignment vertical="center" wrapText="1"/>
    </xf>
    <xf numFmtId="0" fontId="0" fillId="0" borderId="48" xfId="0" applyBorder="1" applyAlignment="1">
      <alignment vertical="center"/>
    </xf>
    <xf numFmtId="15" fontId="0" fillId="0" borderId="46" xfId="0" applyNumberFormat="1" applyBorder="1" applyAlignment="1">
      <alignment horizontal="center" vertical="center"/>
    </xf>
    <xf numFmtId="15" fontId="0" fillId="0" borderId="23" xfId="0" applyNumberFormat="1" applyBorder="1" applyAlignment="1">
      <alignment vertical="center"/>
    </xf>
    <xf numFmtId="15" fontId="0" fillId="0" borderId="23" xfId="0" applyNumberFormat="1" applyBorder="1" applyAlignment="1">
      <alignment vertical="center" wrapText="1"/>
    </xf>
    <xf numFmtId="14" fontId="0" fillId="0" borderId="23" xfId="0" applyNumberFormat="1" applyBorder="1" applyAlignment="1">
      <alignment vertical="center"/>
    </xf>
    <xf numFmtId="0" fontId="0" fillId="0" borderId="23" xfId="0" applyBorder="1" applyAlignment="1">
      <alignment vertical="center"/>
    </xf>
    <xf numFmtId="0" fontId="0" fillId="0" borderId="8" xfId="0" applyBorder="1" applyAlignment="1">
      <alignment vertical="center"/>
    </xf>
    <xf numFmtId="0" fontId="1" fillId="0" borderId="4" xfId="0" applyFont="1" applyBorder="1"/>
    <xf numFmtId="0" fontId="1" fillId="3" borderId="26" xfId="0" applyFont="1" applyFill="1" applyBorder="1" applyAlignment="1">
      <alignment wrapText="1"/>
    </xf>
    <xf numFmtId="0" fontId="0" fillId="0" borderId="14" xfId="0"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1" fillId="0" borderId="5" xfId="0" applyFont="1" applyBorder="1" applyAlignment="1">
      <alignment horizontal="center"/>
    </xf>
    <xf numFmtId="0" fontId="0" fillId="0" borderId="9" xfId="0" applyBorder="1" applyAlignment="1">
      <alignment horizontal="center"/>
    </xf>
    <xf numFmtId="0" fontId="0" fillId="0" borderId="6" xfId="0" applyBorder="1" applyAlignment="1">
      <alignment horizontal="center"/>
    </xf>
    <xf numFmtId="0" fontId="0" fillId="0" borderId="18" xfId="0" applyBorder="1" applyAlignment="1">
      <alignment horizontal="left" vertical="center" wrapText="1"/>
    </xf>
    <xf numFmtId="0" fontId="0" fillId="0" borderId="44" xfId="0" applyBorder="1" applyAlignment="1">
      <alignment horizontal="left" vertical="center" wrapText="1"/>
    </xf>
    <xf numFmtId="0" fontId="0" fillId="0" borderId="21" xfId="0" applyBorder="1" applyAlignment="1">
      <alignment horizontal="left" vertical="center" wrapText="1"/>
    </xf>
    <xf numFmtId="0" fontId="0" fillId="0" borderId="12" xfId="0" applyBorder="1" applyAlignment="1">
      <alignment horizontal="left" vertical="center"/>
    </xf>
    <xf numFmtId="0" fontId="0" fillId="0" borderId="1" xfId="0" applyBorder="1" applyAlignment="1">
      <alignment horizontal="left" vertical="center"/>
    </xf>
    <xf numFmtId="0" fontId="0" fillId="0" borderId="43" xfId="0" applyBorder="1" applyAlignment="1">
      <alignment horizontal="left" vertical="center"/>
    </xf>
    <xf numFmtId="0" fontId="10" fillId="0" borderId="29" xfId="0" applyFont="1" applyBorder="1" applyAlignment="1">
      <alignment horizontal="center"/>
    </xf>
    <xf numFmtId="0" fontId="10" fillId="0" borderId="32" xfId="0" applyFont="1" applyBorder="1" applyAlignment="1">
      <alignment horizontal="center"/>
    </xf>
    <xf numFmtId="0" fontId="10" fillId="0" borderId="30" xfId="0" applyFont="1" applyBorder="1" applyAlignment="1">
      <alignment horizontal="center"/>
    </xf>
    <xf numFmtId="0" fontId="10" fillId="0" borderId="34" xfId="0" applyFont="1" applyBorder="1" applyAlignment="1">
      <alignment horizontal="center"/>
    </xf>
    <xf numFmtId="0" fontId="10" fillId="0" borderId="35" xfId="0" applyFont="1" applyBorder="1" applyAlignment="1">
      <alignment horizontal="center"/>
    </xf>
    <xf numFmtId="0" fontId="10" fillId="0" borderId="36" xfId="0" applyFont="1" applyBorder="1" applyAlignment="1">
      <alignment horizontal="center"/>
    </xf>
    <xf numFmtId="0" fontId="1" fillId="0" borderId="17" xfId="0" applyFont="1" applyBorder="1" applyAlignment="1">
      <alignment horizontal="left" vertical="center" wrapText="1"/>
    </xf>
    <xf numFmtId="0" fontId="0" fillId="0" borderId="45" xfId="0" applyBorder="1" applyAlignment="1">
      <alignment horizontal="left" vertical="center"/>
    </xf>
    <xf numFmtId="0" fontId="0" fillId="0" borderId="20" xfId="0" applyBorder="1" applyAlignment="1">
      <alignment horizontal="left" vertical="center"/>
    </xf>
    <xf numFmtId="0" fontId="7" fillId="5" borderId="5"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5" xfId="0" applyFont="1" applyFill="1" applyBorder="1" applyAlignment="1">
      <alignment horizontal="center"/>
    </xf>
    <xf numFmtId="0" fontId="7" fillId="5" borderId="9" xfId="0" applyFont="1" applyFill="1" applyBorder="1" applyAlignment="1">
      <alignment horizontal="center"/>
    </xf>
    <xf numFmtId="0" fontId="7" fillId="5" borderId="6" xfId="0" applyFont="1" applyFill="1" applyBorder="1" applyAlignment="1">
      <alignment horizontal="center"/>
    </xf>
    <xf numFmtId="0" fontId="7" fillId="5" borderId="14" xfId="0" applyFont="1" applyFill="1" applyBorder="1" applyAlignment="1">
      <alignment horizontal="center"/>
    </xf>
    <xf numFmtId="0" fontId="0" fillId="5" borderId="15" xfId="0" applyFill="1" applyBorder="1" applyAlignment="1">
      <alignment horizontal="center"/>
    </xf>
    <xf numFmtId="0" fontId="0" fillId="5" borderId="16" xfId="0" applyFill="1" applyBorder="1" applyAlignment="1">
      <alignment horizontal="center"/>
    </xf>
    <xf numFmtId="0" fontId="7" fillId="5" borderId="24" xfId="0" applyFont="1" applyFill="1" applyBorder="1" applyAlignment="1">
      <alignment horizontal="center" vertical="center" wrapText="1"/>
    </xf>
    <xf numFmtId="0" fontId="7" fillId="5" borderId="25" xfId="0" applyFont="1" applyFill="1" applyBorder="1" applyAlignment="1">
      <alignment horizontal="center" vertical="center" wrapText="1"/>
    </xf>
    <xf numFmtId="0" fontId="7" fillId="5" borderId="26" xfId="0" applyFont="1" applyFill="1" applyBorder="1" applyAlignment="1">
      <alignment horizontal="center" vertical="center" wrapText="1"/>
    </xf>
    <xf numFmtId="0" fontId="4" fillId="9" borderId="29" xfId="0" applyFont="1" applyFill="1" applyBorder="1" applyAlignment="1">
      <alignment horizontal="center" vertical="center"/>
    </xf>
    <xf numFmtId="0" fontId="4" fillId="9" borderId="32" xfId="0" applyFont="1" applyFill="1" applyBorder="1" applyAlignment="1">
      <alignment horizontal="center" vertical="center"/>
    </xf>
    <xf numFmtId="0" fontId="4" fillId="9" borderId="30" xfId="0" applyFont="1" applyFill="1" applyBorder="1" applyAlignment="1">
      <alignment horizontal="center" vertical="center"/>
    </xf>
    <xf numFmtId="0" fontId="4" fillId="9" borderId="31" xfId="0" applyFont="1" applyFill="1" applyBorder="1" applyAlignment="1">
      <alignment horizontal="center" vertical="center"/>
    </xf>
    <xf numFmtId="0" fontId="4" fillId="9" borderId="28" xfId="0" applyFont="1" applyFill="1" applyBorder="1" applyAlignment="1">
      <alignment horizontal="center" vertical="center"/>
    </xf>
    <xf numFmtId="0" fontId="4" fillId="9" borderId="27" xfId="0" applyFont="1" applyFill="1" applyBorder="1" applyAlignment="1">
      <alignment horizontal="center" vertical="center"/>
    </xf>
    <xf numFmtId="0" fontId="7" fillId="5" borderId="34" xfId="0" applyFont="1" applyFill="1" applyBorder="1" applyAlignment="1">
      <alignment horizontal="center" vertical="center"/>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7" fillId="7" borderId="0" xfId="0" applyFont="1" applyFill="1" applyBorder="1" applyAlignment="1">
      <alignment horizontal="center" vertical="center" wrapText="1"/>
    </xf>
    <xf numFmtId="0" fontId="3" fillId="6" borderId="5" xfId="0" applyFont="1" applyFill="1" applyBorder="1" applyAlignment="1">
      <alignment horizontal="center" vertical="center"/>
    </xf>
    <xf numFmtId="0" fontId="3" fillId="6" borderId="9" xfId="0" applyFont="1" applyFill="1" applyBorder="1" applyAlignment="1">
      <alignment horizontal="center" vertical="center"/>
    </xf>
    <xf numFmtId="0" fontId="3" fillId="6" borderId="6" xfId="0" applyFont="1" applyFill="1" applyBorder="1" applyAlignment="1">
      <alignment horizontal="center" vertical="center"/>
    </xf>
    <xf numFmtId="0" fontId="4" fillId="9" borderId="33" xfId="0" applyFont="1" applyFill="1" applyBorder="1" applyAlignment="1">
      <alignment horizontal="center" vertical="center"/>
    </xf>
    <xf numFmtId="0" fontId="4" fillId="9" borderId="0" xfId="0" applyFont="1" applyFill="1" applyBorder="1" applyAlignment="1">
      <alignment horizontal="center" vertical="center"/>
    </xf>
    <xf numFmtId="0" fontId="4" fillId="9" borderId="22" xfId="0" applyFont="1" applyFill="1" applyBorder="1" applyAlignment="1">
      <alignment horizontal="center" vertical="center"/>
    </xf>
    <xf numFmtId="0" fontId="4" fillId="10" borderId="39" xfId="0" applyFont="1" applyFill="1" applyBorder="1" applyAlignment="1">
      <alignment horizontal="center" vertical="center"/>
    </xf>
    <xf numFmtId="0" fontId="4" fillId="10" borderId="2" xfId="0" applyFont="1" applyFill="1" applyBorder="1" applyAlignment="1">
      <alignment horizontal="center" vertical="center"/>
    </xf>
    <xf numFmtId="0" fontId="4" fillId="10" borderId="13" xfId="0" applyFont="1" applyFill="1" applyBorder="1" applyAlignment="1">
      <alignment horizontal="center" vertical="center"/>
    </xf>
    <xf numFmtId="0" fontId="4" fillId="10" borderId="14" xfId="0" applyFont="1" applyFill="1" applyBorder="1" applyAlignment="1">
      <alignment horizontal="center" vertical="center"/>
    </xf>
    <xf numFmtId="0" fontId="4" fillId="10" borderId="15" xfId="0" applyFont="1" applyFill="1" applyBorder="1" applyAlignment="1">
      <alignment horizontal="center" vertical="center"/>
    </xf>
    <xf numFmtId="0" fontId="4" fillId="10" borderId="16" xfId="0" applyFont="1" applyFill="1" applyBorder="1" applyAlignment="1">
      <alignment horizontal="center" vertical="center"/>
    </xf>
    <xf numFmtId="0" fontId="4" fillId="10" borderId="29" xfId="0" applyFont="1" applyFill="1" applyBorder="1" applyAlignment="1">
      <alignment horizontal="center" vertical="center"/>
    </xf>
    <xf numFmtId="0" fontId="4" fillId="10" borderId="32" xfId="0" applyFont="1" applyFill="1" applyBorder="1" applyAlignment="1">
      <alignment horizontal="center" vertical="center"/>
    </xf>
    <xf numFmtId="0" fontId="4" fillId="10" borderId="30" xfId="0" applyFont="1" applyFill="1" applyBorder="1" applyAlignment="1">
      <alignment horizontal="center" vertical="center"/>
    </xf>
    <xf numFmtId="0" fontId="4" fillId="10" borderId="31" xfId="0" applyFont="1" applyFill="1" applyBorder="1" applyAlignment="1">
      <alignment horizontal="center" vertical="center"/>
    </xf>
    <xf numFmtId="0" fontId="4" fillId="10" borderId="28" xfId="0" applyFont="1" applyFill="1" applyBorder="1" applyAlignment="1">
      <alignment horizontal="center" vertical="center"/>
    </xf>
    <xf numFmtId="0" fontId="4" fillId="10" borderId="27" xfId="0" applyFont="1" applyFill="1" applyBorder="1" applyAlignment="1">
      <alignment horizontal="center" vertical="center"/>
    </xf>
    <xf numFmtId="0" fontId="7" fillId="4" borderId="34" xfId="0" applyFont="1" applyFill="1" applyBorder="1" applyAlignment="1">
      <alignment horizontal="center"/>
    </xf>
    <xf numFmtId="0" fontId="0" fillId="4" borderId="35" xfId="0" applyFill="1" applyBorder="1" applyAlignment="1">
      <alignment horizontal="center"/>
    </xf>
    <xf numFmtId="0" fontId="0" fillId="4" borderId="40" xfId="0" applyFill="1" applyBorder="1" applyAlignment="1">
      <alignment horizontal="center"/>
    </xf>
    <xf numFmtId="0" fontId="7" fillId="5" borderId="10" xfId="0" applyFont="1" applyFill="1" applyBorder="1" applyAlignment="1">
      <alignment horizontal="center"/>
    </xf>
    <xf numFmtId="0" fontId="0" fillId="5" borderId="11" xfId="0" applyFill="1" applyBorder="1" applyAlignment="1">
      <alignment horizontal="center"/>
    </xf>
    <xf numFmtId="0" fontId="0" fillId="5" borderId="42" xfId="0" applyFill="1" applyBorder="1" applyAlignment="1">
      <alignment horizontal="center"/>
    </xf>
    <xf numFmtId="0" fontId="7" fillId="5" borderId="12" xfId="0" applyFont="1" applyFill="1" applyBorder="1" applyAlignment="1">
      <alignment horizontal="center"/>
    </xf>
    <xf numFmtId="0" fontId="0" fillId="5" borderId="1" xfId="0" applyFill="1" applyBorder="1" applyAlignment="1">
      <alignment horizontal="center"/>
    </xf>
    <xf numFmtId="0" fontId="0" fillId="5" borderId="43" xfId="0" applyFill="1" applyBorder="1" applyAlignment="1">
      <alignment horizontal="center"/>
    </xf>
  </cellXfs>
  <cellStyles count="1">
    <cellStyle name="Normal" xfId="0" builtinId="0"/>
  </cellStyles>
  <dxfs count="0"/>
  <tableStyles count="0" defaultTableStyle="TableStyleMedium9" defaultPivotStyle="PivotStyleLight16"/>
  <colors>
    <mruColors>
      <color rgb="FFD9FFD9"/>
      <color rgb="FFFCFEB0"/>
      <color rgb="FFCBFBFD"/>
      <color rgb="FF85F5FB"/>
      <color rgb="FF62F3FA"/>
      <color rgb="FF28EEF8"/>
      <color rgb="FFF8FD23"/>
      <color rgb="FFFFFFCC"/>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5"/>
  <sheetViews>
    <sheetView workbookViewId="0">
      <selection activeCell="D41" sqref="D41"/>
    </sheetView>
  </sheetViews>
  <sheetFormatPr defaultRowHeight="12.75" x14ac:dyDescent="0.2"/>
  <cols>
    <col min="4" max="4" width="14.140625" customWidth="1"/>
    <col min="5" max="5" width="23.28515625" customWidth="1"/>
    <col min="10" max="10" width="50.140625" customWidth="1"/>
  </cols>
  <sheetData>
    <row r="1" spans="2:10" ht="13.5" thickBot="1" x14ac:dyDescent="0.25"/>
    <row r="2" spans="2:10" ht="13.5" thickBot="1" x14ac:dyDescent="0.25">
      <c r="B2" s="93" t="s">
        <v>58</v>
      </c>
      <c r="C2" s="94"/>
      <c r="D2" s="94"/>
      <c r="E2" s="94"/>
      <c r="F2" s="94"/>
      <c r="G2" s="94"/>
      <c r="H2" s="94"/>
      <c r="I2" s="94"/>
      <c r="J2" s="95"/>
    </row>
    <row r="3" spans="2:10" ht="15.75" thickBot="1" x14ac:dyDescent="0.3">
      <c r="B3" s="102" t="s">
        <v>46</v>
      </c>
      <c r="C3" s="103"/>
      <c r="D3" s="103"/>
      <c r="E3" s="103"/>
      <c r="F3" s="103"/>
      <c r="G3" s="103"/>
      <c r="H3" s="103"/>
      <c r="I3" s="103"/>
      <c r="J3" s="104"/>
    </row>
    <row r="4" spans="2:10" ht="15.75" thickBot="1" x14ac:dyDescent="0.3">
      <c r="B4" s="71" t="s">
        <v>47</v>
      </c>
      <c r="C4" s="76" t="s">
        <v>48</v>
      </c>
      <c r="D4" s="71" t="s">
        <v>49</v>
      </c>
      <c r="E4" s="76" t="s">
        <v>50</v>
      </c>
      <c r="F4" s="105" t="s">
        <v>51</v>
      </c>
      <c r="G4" s="106"/>
      <c r="H4" s="106"/>
      <c r="I4" s="106"/>
      <c r="J4" s="107"/>
    </row>
    <row r="5" spans="2:10" x14ac:dyDescent="0.2">
      <c r="B5" s="72">
        <v>1</v>
      </c>
      <c r="C5" s="77" t="s">
        <v>52</v>
      </c>
      <c r="D5" s="82">
        <v>41709</v>
      </c>
      <c r="E5" s="78" t="s">
        <v>55</v>
      </c>
      <c r="F5" s="108" t="s">
        <v>54</v>
      </c>
      <c r="G5" s="109"/>
      <c r="H5" s="109"/>
      <c r="I5" s="109"/>
      <c r="J5" s="110"/>
    </row>
    <row r="6" spans="2:10" ht="12.75" customHeight="1" x14ac:dyDescent="0.2">
      <c r="B6" s="72">
        <v>2</v>
      </c>
      <c r="C6" s="78" t="s">
        <v>53</v>
      </c>
      <c r="D6" s="82">
        <v>41876</v>
      </c>
      <c r="E6" s="78" t="s">
        <v>55</v>
      </c>
      <c r="F6" s="99" t="s">
        <v>56</v>
      </c>
      <c r="G6" s="100"/>
      <c r="H6" s="100"/>
      <c r="I6" s="100"/>
      <c r="J6" s="101"/>
    </row>
    <row r="7" spans="2:10" x14ac:dyDescent="0.2">
      <c r="B7" s="73">
        <v>3</v>
      </c>
      <c r="C7" s="78" t="s">
        <v>60</v>
      </c>
      <c r="D7" s="82">
        <v>42286</v>
      </c>
      <c r="E7" s="78" t="s">
        <v>61</v>
      </c>
      <c r="F7" s="99" t="s">
        <v>62</v>
      </c>
      <c r="G7" s="100"/>
      <c r="H7" s="100"/>
      <c r="I7" s="100"/>
      <c r="J7" s="101"/>
    </row>
    <row r="8" spans="2:10" x14ac:dyDescent="0.2">
      <c r="B8" s="73">
        <v>4</v>
      </c>
      <c r="C8" s="79"/>
      <c r="D8" s="83"/>
      <c r="E8" s="79"/>
      <c r="F8" s="99"/>
      <c r="G8" s="100"/>
      <c r="H8" s="100"/>
      <c r="I8" s="100"/>
      <c r="J8" s="101"/>
    </row>
    <row r="9" spans="2:10" x14ac:dyDescent="0.2">
      <c r="B9" s="74">
        <v>5</v>
      </c>
      <c r="C9" s="80"/>
      <c r="D9" s="84"/>
      <c r="E9" s="80"/>
      <c r="F9" s="96"/>
      <c r="G9" s="97"/>
      <c r="H9" s="97"/>
      <c r="I9" s="97"/>
      <c r="J9" s="98"/>
    </row>
    <row r="10" spans="2:10" x14ac:dyDescent="0.2">
      <c r="B10" s="73">
        <v>6</v>
      </c>
      <c r="C10" s="79"/>
      <c r="D10" s="85"/>
      <c r="E10" s="79"/>
      <c r="F10" s="96"/>
      <c r="G10" s="97"/>
      <c r="H10" s="97"/>
      <c r="I10" s="97"/>
      <c r="J10" s="98"/>
    </row>
    <row r="11" spans="2:10" x14ac:dyDescent="0.2">
      <c r="B11" s="73">
        <v>7</v>
      </c>
      <c r="C11" s="79"/>
      <c r="D11" s="85"/>
      <c r="E11" s="79"/>
      <c r="F11" s="96"/>
      <c r="G11" s="97"/>
      <c r="H11" s="97"/>
      <c r="I11" s="97"/>
      <c r="J11" s="98"/>
    </row>
    <row r="12" spans="2:10" x14ac:dyDescent="0.2">
      <c r="B12" s="73">
        <v>8</v>
      </c>
      <c r="C12" s="79"/>
      <c r="D12" s="85"/>
      <c r="E12" s="79"/>
      <c r="F12" s="96"/>
      <c r="G12" s="97"/>
      <c r="H12" s="97"/>
      <c r="I12" s="97"/>
      <c r="J12" s="98"/>
    </row>
    <row r="13" spans="2:10" x14ac:dyDescent="0.2">
      <c r="B13" s="73"/>
      <c r="C13" s="79"/>
      <c r="D13" s="86"/>
      <c r="E13" s="79"/>
      <c r="F13" s="99"/>
      <c r="G13" s="100"/>
      <c r="H13" s="100"/>
      <c r="I13" s="100"/>
      <c r="J13" s="101"/>
    </row>
    <row r="14" spans="2:10" x14ac:dyDescent="0.2">
      <c r="B14" s="73"/>
      <c r="C14" s="79"/>
      <c r="D14" s="86"/>
      <c r="E14" s="79"/>
      <c r="F14" s="99"/>
      <c r="G14" s="100"/>
      <c r="H14" s="100"/>
      <c r="I14" s="100"/>
      <c r="J14" s="101"/>
    </row>
    <row r="15" spans="2:10" ht="13.5" thickBot="1" x14ac:dyDescent="0.25">
      <c r="B15" s="75"/>
      <c r="C15" s="81"/>
      <c r="D15" s="87"/>
      <c r="E15" s="81"/>
      <c r="F15" s="90"/>
      <c r="G15" s="91"/>
      <c r="H15" s="91"/>
      <c r="I15" s="91"/>
      <c r="J15" s="92"/>
    </row>
  </sheetData>
  <mergeCells count="14">
    <mergeCell ref="F15:J15"/>
    <mergeCell ref="B2:J2"/>
    <mergeCell ref="F9:J9"/>
    <mergeCell ref="F10:J10"/>
    <mergeCell ref="F11:J11"/>
    <mergeCell ref="F12:J12"/>
    <mergeCell ref="F13:J13"/>
    <mergeCell ref="F14:J14"/>
    <mergeCell ref="B3:J3"/>
    <mergeCell ref="F4:J4"/>
    <mergeCell ref="F5:J5"/>
    <mergeCell ref="F6:J6"/>
    <mergeCell ref="F7:J7"/>
    <mergeCell ref="F8:J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B25"/>
  <sheetViews>
    <sheetView topLeftCell="A10" workbookViewId="0">
      <selection activeCell="F16" sqref="F16"/>
    </sheetView>
  </sheetViews>
  <sheetFormatPr defaultColWidth="11.42578125" defaultRowHeight="12.75" x14ac:dyDescent="0.2"/>
  <cols>
    <col min="1" max="1" width="1.7109375" customWidth="1"/>
    <col min="2" max="2" width="114" customWidth="1"/>
  </cols>
  <sheetData>
    <row r="1" spans="2:2" ht="6" customHeight="1" thickBot="1" x14ac:dyDescent="0.25"/>
    <row r="2" spans="2:2" ht="24" thickBot="1" x14ac:dyDescent="0.4">
      <c r="B2" s="56" t="s">
        <v>3</v>
      </c>
    </row>
    <row r="3" spans="2:2" x14ac:dyDescent="0.2">
      <c r="B3" s="57"/>
    </row>
    <row r="4" spans="2:2" ht="13.5" thickBot="1" x14ac:dyDescent="0.25">
      <c r="B4" s="1"/>
    </row>
    <row r="5" spans="2:2" ht="204.75" thickBot="1" x14ac:dyDescent="0.25">
      <c r="B5" s="55" t="s">
        <v>22</v>
      </c>
    </row>
    <row r="6" spans="2:2" ht="13.5" thickBot="1" x14ac:dyDescent="0.25">
      <c r="B6" s="2"/>
    </row>
    <row r="7" spans="2:2" x14ac:dyDescent="0.2">
      <c r="B7" s="58" t="s">
        <v>5</v>
      </c>
    </row>
    <row r="8" spans="2:2" ht="13.5" thickBot="1" x14ac:dyDescent="0.25">
      <c r="B8" s="70" t="s">
        <v>28</v>
      </c>
    </row>
    <row r="9" spans="2:2" ht="13.5" thickBot="1" x14ac:dyDescent="0.25">
      <c r="B9" s="53"/>
    </row>
    <row r="10" spans="2:2" x14ac:dyDescent="0.2">
      <c r="B10" s="59" t="s">
        <v>29</v>
      </c>
    </row>
    <row r="11" spans="2:2" ht="13.5" customHeight="1" x14ac:dyDescent="0.2">
      <c r="B11" s="60" t="s">
        <v>23</v>
      </c>
    </row>
    <row r="12" spans="2:2" ht="51" x14ac:dyDescent="0.2">
      <c r="B12" s="60" t="s">
        <v>30</v>
      </c>
    </row>
    <row r="13" spans="2:2" x14ac:dyDescent="0.2">
      <c r="B13" s="61"/>
    </row>
    <row r="14" spans="2:2" ht="127.5" x14ac:dyDescent="0.2">
      <c r="B14" s="62" t="s">
        <v>31</v>
      </c>
    </row>
    <row r="15" spans="2:2" ht="76.5" x14ac:dyDescent="0.2">
      <c r="B15" s="60" t="s">
        <v>27</v>
      </c>
    </row>
    <row r="16" spans="2:2" ht="90" thickBot="1" x14ac:dyDescent="0.25">
      <c r="B16" s="89" t="s">
        <v>59</v>
      </c>
    </row>
    <row r="17" spans="2:2" ht="13.5" thickBot="1" x14ac:dyDescent="0.25">
      <c r="B17" s="53"/>
    </row>
    <row r="18" spans="2:2" x14ac:dyDescent="0.2">
      <c r="B18" s="59" t="s">
        <v>25</v>
      </c>
    </row>
    <row r="19" spans="2:2" x14ac:dyDescent="0.2">
      <c r="B19" s="63"/>
    </row>
    <row r="20" spans="2:2" ht="26.25" thickBot="1" x14ac:dyDescent="0.25">
      <c r="B20" s="64" t="s">
        <v>26</v>
      </c>
    </row>
    <row r="21" spans="2:2" ht="13.5" thickBot="1" x14ac:dyDescent="0.25"/>
    <row r="22" spans="2:2" ht="13.5" thickBot="1" x14ac:dyDescent="0.25">
      <c r="B22" s="88" t="s">
        <v>57</v>
      </c>
    </row>
    <row r="25" spans="2:2" x14ac:dyDescent="0.2">
      <c r="B25" t="s">
        <v>4</v>
      </c>
    </row>
  </sheetData>
  <phoneticPr fontId="2" type="noConversion"/>
  <pageMargins left="0.74803149606299213" right="0.74803149606299213" top="0.98425196850393704" bottom="0.98425196850393704" header="0.51181102362204722" footer="0.51181102362204722"/>
  <pageSetup paperSize="9" scale="66"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AJ268"/>
  <sheetViews>
    <sheetView tabSelected="1" topLeftCell="A7" workbookViewId="0">
      <selection activeCell="P11" sqref="P11"/>
    </sheetView>
  </sheetViews>
  <sheetFormatPr defaultColWidth="11.42578125" defaultRowHeight="12.75" x14ac:dyDescent="0.2"/>
  <cols>
    <col min="1" max="1" width="1.85546875" customWidth="1"/>
    <col min="2" max="2" width="1.7109375" customWidth="1"/>
    <col min="3" max="3" width="19.140625" bestFit="1" customWidth="1"/>
    <col min="4" max="4" width="16.42578125" bestFit="1" customWidth="1"/>
    <col min="5" max="5" width="15.28515625" bestFit="1" customWidth="1"/>
    <col min="6" max="6" width="22.42578125" bestFit="1" customWidth="1"/>
    <col min="7" max="9" width="11.42578125" style="3"/>
    <col min="10" max="10" width="24.140625" customWidth="1"/>
    <col min="11" max="11" width="11.42578125" customWidth="1"/>
    <col min="12" max="12" width="12.140625" customWidth="1"/>
    <col min="13" max="13" width="1.85546875" customWidth="1"/>
  </cols>
  <sheetData>
    <row r="1" spans="2:36" ht="7.5" customHeight="1" thickBot="1" x14ac:dyDescent="0.25"/>
    <row r="2" spans="2:36" ht="6.75" customHeight="1" thickBot="1" x14ac:dyDescent="0.25">
      <c r="B2" s="16"/>
      <c r="C2" s="17"/>
      <c r="D2" s="17"/>
      <c r="E2" s="17"/>
      <c r="F2" s="17"/>
      <c r="G2" s="18"/>
      <c r="H2" s="18"/>
      <c r="I2" s="18"/>
      <c r="J2" s="17"/>
      <c r="K2" s="17"/>
      <c r="L2" s="17"/>
      <c r="M2" s="19"/>
    </row>
    <row r="3" spans="2:36" ht="30" customHeight="1" thickBot="1" x14ac:dyDescent="0.25">
      <c r="B3" s="28"/>
      <c r="C3" s="133" t="s">
        <v>7</v>
      </c>
      <c r="D3" s="134"/>
      <c r="E3" s="134"/>
      <c r="F3" s="134"/>
      <c r="G3" s="134"/>
      <c r="H3" s="134"/>
      <c r="I3" s="134"/>
      <c r="J3" s="134"/>
      <c r="K3" s="134"/>
      <c r="L3" s="135"/>
      <c r="M3" s="20"/>
    </row>
    <row r="4" spans="2:36" ht="16.5" customHeight="1" thickBot="1" x14ac:dyDescent="0.4">
      <c r="B4" s="28"/>
      <c r="C4" s="31"/>
      <c r="D4" s="31"/>
      <c r="E4" s="31"/>
      <c r="F4" s="31"/>
      <c r="G4" s="31"/>
      <c r="H4" s="31"/>
      <c r="I4" s="31"/>
      <c r="J4" s="31"/>
      <c r="K4" s="24"/>
      <c r="L4" s="24"/>
      <c r="M4" s="21"/>
      <c r="AJ4" s="54" t="s">
        <v>36</v>
      </c>
    </row>
    <row r="5" spans="2:36" ht="15.75" customHeight="1" thickBot="1" x14ac:dyDescent="0.4">
      <c r="B5" s="28"/>
      <c r="C5" s="111" t="s">
        <v>32</v>
      </c>
      <c r="D5" s="112"/>
      <c r="E5" s="112"/>
      <c r="F5" s="113"/>
      <c r="G5" s="8">
        <v>3072</v>
      </c>
      <c r="H5" s="31"/>
      <c r="I5" s="31"/>
      <c r="J5" s="123" t="s">
        <v>17</v>
      </c>
      <c r="K5" s="124"/>
      <c r="L5" s="125"/>
      <c r="M5" s="21"/>
      <c r="AJ5" s="54" t="s">
        <v>37</v>
      </c>
    </row>
    <row r="6" spans="2:36" ht="15.75" customHeight="1" thickBot="1" x14ac:dyDescent="0.4">
      <c r="B6" s="28"/>
      <c r="C6" s="111" t="s">
        <v>35</v>
      </c>
      <c r="D6" s="112"/>
      <c r="E6" s="112"/>
      <c r="F6" s="113"/>
      <c r="G6" s="15">
        <f>SUM(I29:I267)*8</f>
        <v>440</v>
      </c>
      <c r="H6" s="31"/>
      <c r="I6" s="31"/>
      <c r="J6" s="136"/>
      <c r="K6" s="137"/>
      <c r="L6" s="138"/>
      <c r="M6" s="21"/>
    </row>
    <row r="7" spans="2:36" ht="15.75" customHeight="1" thickBot="1" x14ac:dyDescent="0.4">
      <c r="B7" s="28"/>
      <c r="C7" s="111" t="s">
        <v>33</v>
      </c>
      <c r="D7" s="112"/>
      <c r="E7" s="112"/>
      <c r="F7" s="113"/>
      <c r="G7" s="15">
        <f>MAX(I29:I267)*8</f>
        <v>360</v>
      </c>
      <c r="H7" s="31"/>
      <c r="I7" s="31"/>
      <c r="J7" s="136"/>
      <c r="K7" s="137"/>
      <c r="L7" s="138"/>
      <c r="M7" s="21"/>
    </row>
    <row r="8" spans="2:36" ht="15.75" customHeight="1" thickBot="1" x14ac:dyDescent="0.4">
      <c r="B8" s="28"/>
      <c r="C8" s="111" t="s">
        <v>42</v>
      </c>
      <c r="D8" s="112"/>
      <c r="E8" s="112"/>
      <c r="F8" s="113"/>
      <c r="G8" s="8">
        <v>1</v>
      </c>
      <c r="H8" s="31"/>
      <c r="I8" s="31"/>
      <c r="J8" s="136"/>
      <c r="K8" s="137"/>
      <c r="L8" s="138"/>
      <c r="M8" s="21"/>
    </row>
    <row r="9" spans="2:36" ht="15.75" customHeight="1" thickBot="1" x14ac:dyDescent="0.25">
      <c r="B9" s="28"/>
      <c r="C9" s="111" t="s">
        <v>34</v>
      </c>
      <c r="D9" s="112"/>
      <c r="E9" s="112"/>
      <c r="F9" s="113"/>
      <c r="G9" s="15">
        <f>(G6+G7+512)*(G8+1)</f>
        <v>2624</v>
      </c>
      <c r="H9" s="29"/>
      <c r="I9" s="29"/>
      <c r="J9" s="126"/>
      <c r="K9" s="127"/>
      <c r="L9" s="128"/>
      <c r="M9" s="21"/>
    </row>
    <row r="10" spans="2:36" x14ac:dyDescent="0.2">
      <c r="B10" s="28"/>
      <c r="C10" s="139" t="str">
        <f>IF($G$5&lt;$G$9, "Warning: selected threshold too small!", "Info: Threshold ok!")</f>
        <v>Info: Threshold ok!</v>
      </c>
      <c r="D10" s="140"/>
      <c r="E10" s="140"/>
      <c r="F10" s="140"/>
      <c r="G10" s="141"/>
      <c r="H10" s="29"/>
      <c r="I10" s="29"/>
      <c r="J10" s="33" t="s">
        <v>2</v>
      </c>
      <c r="K10" s="34">
        <v>8</v>
      </c>
      <c r="L10" s="35" t="s">
        <v>10</v>
      </c>
      <c r="M10" s="21"/>
    </row>
    <row r="11" spans="2:36" ht="13.5" thickBot="1" x14ac:dyDescent="0.25">
      <c r="B11" s="28"/>
      <c r="C11" s="142"/>
      <c r="D11" s="143"/>
      <c r="E11" s="143"/>
      <c r="F11" s="143"/>
      <c r="G11" s="144"/>
      <c r="H11" s="29"/>
      <c r="I11" s="29"/>
      <c r="J11" s="36" t="s">
        <v>11</v>
      </c>
      <c r="K11" s="37">
        <v>7</v>
      </c>
      <c r="L11" s="38" t="s">
        <v>10</v>
      </c>
      <c r="M11" s="21"/>
    </row>
    <row r="12" spans="2:36" ht="12.75" customHeight="1" thickBot="1" x14ac:dyDescent="0.25">
      <c r="B12" s="28"/>
      <c r="C12" s="24"/>
      <c r="D12" s="24"/>
      <c r="E12" s="24"/>
      <c r="F12" s="24"/>
      <c r="G12" s="29"/>
      <c r="H12" s="29"/>
      <c r="I12" s="29"/>
      <c r="J12" s="120" t="s">
        <v>12</v>
      </c>
      <c r="K12" s="120">
        <v>16</v>
      </c>
      <c r="L12" s="120" t="s">
        <v>10</v>
      </c>
      <c r="M12" s="21"/>
    </row>
    <row r="13" spans="2:36" ht="13.5" thickBot="1" x14ac:dyDescent="0.25">
      <c r="B13" s="28"/>
      <c r="C13" s="129" t="s">
        <v>18</v>
      </c>
      <c r="D13" s="130"/>
      <c r="E13" s="130"/>
      <c r="F13" s="131"/>
      <c r="G13" s="7">
        <v>5</v>
      </c>
      <c r="H13" s="29"/>
      <c r="I13" s="29"/>
      <c r="J13" s="121"/>
      <c r="K13" s="121"/>
      <c r="L13" s="121"/>
      <c r="M13" s="21"/>
    </row>
    <row r="14" spans="2:36" ht="13.5" thickBot="1" x14ac:dyDescent="0.25">
      <c r="B14" s="28"/>
      <c r="C14" s="151" t="s">
        <v>24</v>
      </c>
      <c r="D14" s="152"/>
      <c r="E14" s="152"/>
      <c r="F14" s="153"/>
      <c r="G14" s="66">
        <v>393216</v>
      </c>
      <c r="H14" s="29"/>
      <c r="I14" s="29"/>
      <c r="J14" s="121"/>
      <c r="K14" s="121"/>
      <c r="L14" s="121"/>
      <c r="M14" s="21"/>
    </row>
    <row r="15" spans="2:36" x14ac:dyDescent="0.2">
      <c r="B15" s="28"/>
      <c r="C15" s="154" t="s">
        <v>8</v>
      </c>
      <c r="D15" s="155"/>
      <c r="E15" s="155"/>
      <c r="F15" s="156"/>
      <c r="G15" s="67">
        <f>(((G14/2)-1024-G5+8)/8 - SUM(H29:H267) - SUM(I29:I267))</f>
        <v>23844</v>
      </c>
      <c r="H15" s="29"/>
      <c r="I15" s="29"/>
      <c r="J15" s="120" t="s">
        <v>13</v>
      </c>
      <c r="K15" s="120">
        <v>1024</v>
      </c>
      <c r="L15" s="120" t="s">
        <v>10</v>
      </c>
      <c r="M15" s="21"/>
    </row>
    <row r="16" spans="2:36" x14ac:dyDescent="0.2">
      <c r="B16" s="28"/>
      <c r="C16" s="157" t="s">
        <v>16</v>
      </c>
      <c r="D16" s="158"/>
      <c r="E16" s="158"/>
      <c r="F16" s="159"/>
      <c r="G16" s="68">
        <f>SUM(J29:J267)</f>
        <v>18550000</v>
      </c>
      <c r="H16" s="29"/>
      <c r="I16" s="29"/>
      <c r="J16" s="121"/>
      <c r="K16" s="121"/>
      <c r="L16" s="121"/>
      <c r="M16" s="21"/>
    </row>
    <row r="17" spans="2:13" ht="13.5" thickBot="1" x14ac:dyDescent="0.25">
      <c r="B17" s="28"/>
      <c r="C17" s="117" t="s">
        <v>45</v>
      </c>
      <c r="D17" s="118"/>
      <c r="E17" s="118"/>
      <c r="F17" s="119"/>
      <c r="G17" s="69">
        <f>IF(G15&gt;0,ROUNDUP(G16/(G15*2),0),"")</f>
        <v>389</v>
      </c>
      <c r="H17" s="29"/>
      <c r="I17" s="29"/>
      <c r="J17" s="122"/>
      <c r="K17" s="122"/>
      <c r="L17" s="122"/>
      <c r="M17" s="21"/>
    </row>
    <row r="18" spans="2:13" ht="13.5" thickBot="1" x14ac:dyDescent="0.25">
      <c r="B18" s="28"/>
      <c r="C18" s="114" t="s">
        <v>43</v>
      </c>
      <c r="D18" s="115"/>
      <c r="E18" s="115"/>
      <c r="F18" s="116"/>
      <c r="G18" s="8">
        <v>5</v>
      </c>
      <c r="H18" s="29"/>
      <c r="I18" s="29"/>
      <c r="J18" s="24"/>
      <c r="K18" s="24"/>
      <c r="L18" s="24"/>
      <c r="M18" s="21"/>
    </row>
    <row r="19" spans="2:13" ht="13.5" thickBot="1" x14ac:dyDescent="0.25">
      <c r="B19" s="28"/>
      <c r="C19" s="114" t="s">
        <v>44</v>
      </c>
      <c r="D19" s="115"/>
      <c r="E19" s="115"/>
      <c r="F19" s="116"/>
      <c r="G19" s="15">
        <f>ROUNDUP(G17+(G17*G18/100),0)</f>
        <v>409</v>
      </c>
      <c r="H19" s="29"/>
      <c r="I19" s="29"/>
      <c r="J19" s="24"/>
      <c r="K19" s="24"/>
      <c r="L19" s="24"/>
      <c r="M19" s="21"/>
    </row>
    <row r="20" spans="2:13" ht="13.5" thickBot="1" x14ac:dyDescent="0.25">
      <c r="B20" s="28"/>
      <c r="C20" s="129" t="s">
        <v>21</v>
      </c>
      <c r="D20" s="130"/>
      <c r="E20" s="130"/>
      <c r="F20" s="131"/>
      <c r="G20" s="15">
        <f>IF($G$19&gt;$K$24,0,$L$24)</f>
        <v>10</v>
      </c>
      <c r="H20" s="29"/>
      <c r="I20" s="29"/>
      <c r="J20" s="32"/>
      <c r="K20" s="32"/>
      <c r="L20" s="32"/>
      <c r="M20" s="21"/>
    </row>
    <row r="21" spans="2:13" x14ac:dyDescent="0.2">
      <c r="B21" s="28"/>
      <c r="C21" s="145" t="str">
        <f>IF($G$20&lt;$G$13, "Error: Retention cannot be ensured!", "Info: Retention ok!")</f>
        <v>Info: Retention ok!</v>
      </c>
      <c r="D21" s="146"/>
      <c r="E21" s="146"/>
      <c r="F21" s="146"/>
      <c r="G21" s="147"/>
      <c r="H21" s="29"/>
      <c r="I21" s="29"/>
      <c r="J21" s="132"/>
      <c r="K21" s="123" t="s">
        <v>6</v>
      </c>
      <c r="L21" s="125"/>
      <c r="M21" s="21"/>
    </row>
    <row r="22" spans="2:13" s="6" customFormat="1" ht="13.5" thickBot="1" x14ac:dyDescent="0.25">
      <c r="B22" s="28"/>
      <c r="C22" s="148"/>
      <c r="D22" s="149"/>
      <c r="E22" s="149"/>
      <c r="F22" s="149"/>
      <c r="G22" s="150"/>
      <c r="H22" s="29"/>
      <c r="I22" s="29"/>
      <c r="J22" s="132"/>
      <c r="K22" s="126"/>
      <c r="L22" s="128"/>
      <c r="M22" s="22"/>
    </row>
    <row r="23" spans="2:13" ht="13.5" thickBot="1" x14ac:dyDescent="0.25">
      <c r="B23" s="28"/>
      <c r="C23" s="24"/>
      <c r="D23" s="24"/>
      <c r="E23" s="24"/>
      <c r="F23" s="24"/>
      <c r="G23" s="29"/>
      <c r="H23" s="29"/>
      <c r="I23" s="29"/>
      <c r="J23" s="24"/>
      <c r="K23" s="39" t="s">
        <v>14</v>
      </c>
      <c r="L23" s="39" t="s">
        <v>15</v>
      </c>
      <c r="M23" s="21"/>
    </row>
    <row r="24" spans="2:13" ht="13.5" thickBot="1" x14ac:dyDescent="0.25">
      <c r="B24" s="28"/>
      <c r="C24" s="24"/>
      <c r="D24" s="24"/>
      <c r="E24" s="24"/>
      <c r="F24" s="24"/>
      <c r="G24" s="29"/>
      <c r="H24" s="29"/>
      <c r="I24" s="29"/>
      <c r="J24" s="30"/>
      <c r="K24" s="5">
        <v>125000</v>
      </c>
      <c r="L24" s="4">
        <v>10</v>
      </c>
      <c r="M24" s="21"/>
    </row>
    <row r="25" spans="2:13" ht="13.5" thickBot="1" x14ac:dyDescent="0.25">
      <c r="B25" s="28"/>
      <c r="C25" s="24"/>
      <c r="D25" s="24"/>
      <c r="E25" s="24"/>
      <c r="F25" s="24"/>
      <c r="G25" s="29"/>
      <c r="H25" s="29"/>
      <c r="I25" s="29"/>
      <c r="J25" s="24"/>
      <c r="K25" s="24"/>
      <c r="L25" s="24"/>
      <c r="M25" s="21"/>
    </row>
    <row r="26" spans="2:13" x14ac:dyDescent="0.2">
      <c r="B26" s="28"/>
      <c r="C26" s="123" t="s">
        <v>0</v>
      </c>
      <c r="D26" s="124"/>
      <c r="E26" s="124"/>
      <c r="F26" s="124"/>
      <c r="G26" s="125"/>
      <c r="H26" s="29"/>
      <c r="I26" s="29"/>
      <c r="J26" s="24"/>
      <c r="K26" s="24"/>
      <c r="L26" s="24"/>
      <c r="M26" s="21"/>
    </row>
    <row r="27" spans="2:13" ht="13.5" thickBot="1" x14ac:dyDescent="0.25">
      <c r="B27" s="28"/>
      <c r="C27" s="126"/>
      <c r="D27" s="127"/>
      <c r="E27" s="127"/>
      <c r="F27" s="127"/>
      <c r="G27" s="128"/>
      <c r="H27" s="29"/>
      <c r="I27" s="29"/>
      <c r="J27" s="24"/>
      <c r="K27" s="24"/>
      <c r="L27" s="24"/>
      <c r="M27" s="21"/>
    </row>
    <row r="28" spans="2:13" ht="45" customHeight="1" thickBot="1" x14ac:dyDescent="0.25">
      <c r="B28" s="28"/>
      <c r="C28" s="40" t="s">
        <v>20</v>
      </c>
      <c r="D28" s="40" t="s">
        <v>19</v>
      </c>
      <c r="E28" s="40" t="s">
        <v>41</v>
      </c>
      <c r="F28" s="40" t="s">
        <v>38</v>
      </c>
      <c r="G28" s="40" t="s">
        <v>1</v>
      </c>
      <c r="H28" s="40" t="s">
        <v>39</v>
      </c>
      <c r="I28" s="40" t="s">
        <v>40</v>
      </c>
      <c r="J28" s="40" t="s">
        <v>9</v>
      </c>
      <c r="K28" s="24"/>
      <c r="L28" s="24"/>
      <c r="M28" s="21"/>
    </row>
    <row r="29" spans="2:13" x14ac:dyDescent="0.2">
      <c r="B29" s="28"/>
      <c r="C29" s="41">
        <v>1</v>
      </c>
      <c r="D29" s="42">
        <v>10</v>
      </c>
      <c r="E29" s="43">
        <v>100000</v>
      </c>
      <c r="F29" s="42" t="s">
        <v>36</v>
      </c>
      <c r="G29" s="44"/>
      <c r="H29" s="9">
        <f>IF(D29&gt;0,IF(F29="NORMAL",(ROUNDUP(D29/7,0))+2,0),"")</f>
        <v>4</v>
      </c>
      <c r="I29" s="9">
        <f>IF(D29&gt;0,IF(F29="IMMEDIATE",(ROUNDUP(D29/7,0))+2,0),"")</f>
        <v>0</v>
      </c>
      <c r="J29" s="10">
        <f>IF(D29&gt;0,(H29+I29)*E29,"")</f>
        <v>400000</v>
      </c>
      <c r="K29" s="24"/>
      <c r="L29" s="24"/>
      <c r="M29" s="21"/>
    </row>
    <row r="30" spans="2:13" x14ac:dyDescent="0.2">
      <c r="B30" s="28"/>
      <c r="C30" s="45">
        <v>2</v>
      </c>
      <c r="D30" s="46">
        <v>100</v>
      </c>
      <c r="E30" s="47">
        <v>50000</v>
      </c>
      <c r="F30" s="46" t="s">
        <v>36</v>
      </c>
      <c r="G30" s="48"/>
      <c r="H30" s="11">
        <f t="shared" ref="H30:H93" si="0">IF(D30&gt;0,IF(F30="NORMAL",(ROUNDUP(D30/7,0))+2,0),"")</f>
        <v>17</v>
      </c>
      <c r="I30" s="11">
        <f t="shared" ref="I30:I93" si="1">IF(D30&gt;0,IF(F30="IMMEDIATE",(ROUNDUP(D30/7,0))+2,0),"")</f>
        <v>0</v>
      </c>
      <c r="J30" s="12">
        <f t="shared" ref="J30:J93" si="2">IF(D30&gt;0,(H30+I30)*E30,"")</f>
        <v>850000</v>
      </c>
      <c r="K30" s="24"/>
      <c r="L30" s="24"/>
      <c r="M30" s="21"/>
    </row>
    <row r="31" spans="2:13" x14ac:dyDescent="0.2">
      <c r="B31" s="28"/>
      <c r="C31" s="45">
        <v>3</v>
      </c>
      <c r="D31" s="46">
        <v>1000</v>
      </c>
      <c r="E31" s="47">
        <v>80000</v>
      </c>
      <c r="F31" s="46" t="s">
        <v>36</v>
      </c>
      <c r="G31" s="48"/>
      <c r="H31" s="11">
        <f t="shared" si="0"/>
        <v>145</v>
      </c>
      <c r="I31" s="11">
        <f t="shared" si="1"/>
        <v>0</v>
      </c>
      <c r="J31" s="12">
        <f t="shared" si="2"/>
        <v>11600000</v>
      </c>
      <c r="K31" s="24"/>
      <c r="L31" s="24"/>
      <c r="M31" s="21"/>
    </row>
    <row r="32" spans="2:13" x14ac:dyDescent="0.2">
      <c r="B32" s="28"/>
      <c r="C32" s="45">
        <v>4</v>
      </c>
      <c r="D32" s="46">
        <v>50</v>
      </c>
      <c r="E32" s="47">
        <v>120000</v>
      </c>
      <c r="F32" s="65" t="s">
        <v>37</v>
      </c>
      <c r="G32" s="48"/>
      <c r="H32" s="11">
        <f t="shared" si="0"/>
        <v>0</v>
      </c>
      <c r="I32" s="11">
        <f t="shared" si="1"/>
        <v>10</v>
      </c>
      <c r="J32" s="12">
        <f t="shared" si="2"/>
        <v>1200000</v>
      </c>
      <c r="K32" s="24"/>
      <c r="L32" s="24"/>
      <c r="M32" s="21"/>
    </row>
    <row r="33" spans="2:13" x14ac:dyDescent="0.2">
      <c r="B33" s="28"/>
      <c r="C33" s="45">
        <v>5</v>
      </c>
      <c r="D33" s="46">
        <v>300</v>
      </c>
      <c r="E33" s="47">
        <v>100000</v>
      </c>
      <c r="F33" s="46" t="s">
        <v>37</v>
      </c>
      <c r="G33" s="48"/>
      <c r="H33" s="11">
        <f t="shared" si="0"/>
        <v>0</v>
      </c>
      <c r="I33" s="11">
        <f t="shared" si="1"/>
        <v>45</v>
      </c>
      <c r="J33" s="12">
        <f t="shared" si="2"/>
        <v>4500000</v>
      </c>
      <c r="K33" s="24"/>
      <c r="L33" s="24"/>
      <c r="M33" s="21"/>
    </row>
    <row r="34" spans="2:13" x14ac:dyDescent="0.2">
      <c r="B34" s="28"/>
      <c r="C34" s="45"/>
      <c r="D34" s="46"/>
      <c r="E34" s="47"/>
      <c r="F34" s="46"/>
      <c r="G34" s="48"/>
      <c r="H34" s="11" t="str">
        <f t="shared" si="0"/>
        <v/>
      </c>
      <c r="I34" s="11" t="str">
        <f t="shared" si="1"/>
        <v/>
      </c>
      <c r="J34" s="12" t="str">
        <f t="shared" si="2"/>
        <v/>
      </c>
      <c r="K34" s="24"/>
      <c r="L34" s="24"/>
      <c r="M34" s="21"/>
    </row>
    <row r="35" spans="2:13" x14ac:dyDescent="0.2">
      <c r="B35" s="28"/>
      <c r="C35" s="45"/>
      <c r="D35" s="46"/>
      <c r="E35" s="47"/>
      <c r="F35" s="46"/>
      <c r="G35" s="48"/>
      <c r="H35" s="11" t="str">
        <f t="shared" si="0"/>
        <v/>
      </c>
      <c r="I35" s="11" t="str">
        <f t="shared" si="1"/>
        <v/>
      </c>
      <c r="J35" s="12" t="str">
        <f t="shared" si="2"/>
        <v/>
      </c>
      <c r="K35" s="24"/>
      <c r="L35" s="24"/>
      <c r="M35" s="21"/>
    </row>
    <row r="36" spans="2:13" x14ac:dyDescent="0.2">
      <c r="B36" s="28"/>
      <c r="C36" s="45"/>
      <c r="D36" s="46"/>
      <c r="E36" s="47"/>
      <c r="F36" s="46"/>
      <c r="G36" s="48"/>
      <c r="H36" s="11" t="str">
        <f t="shared" si="0"/>
        <v/>
      </c>
      <c r="I36" s="11" t="str">
        <f t="shared" si="1"/>
        <v/>
      </c>
      <c r="J36" s="12" t="str">
        <f t="shared" si="2"/>
        <v/>
      </c>
      <c r="K36" s="24"/>
      <c r="L36" s="24"/>
      <c r="M36" s="21"/>
    </row>
    <row r="37" spans="2:13" x14ac:dyDescent="0.2">
      <c r="B37" s="28"/>
      <c r="C37" s="45"/>
      <c r="D37" s="46"/>
      <c r="E37" s="47"/>
      <c r="F37" s="46"/>
      <c r="G37" s="48"/>
      <c r="H37" s="11" t="str">
        <f t="shared" si="0"/>
        <v/>
      </c>
      <c r="I37" s="11" t="str">
        <f t="shared" si="1"/>
        <v/>
      </c>
      <c r="J37" s="12" t="str">
        <f t="shared" si="2"/>
        <v/>
      </c>
      <c r="K37" s="24"/>
      <c r="L37" s="24"/>
      <c r="M37" s="21"/>
    </row>
    <row r="38" spans="2:13" x14ac:dyDescent="0.2">
      <c r="B38" s="28"/>
      <c r="C38" s="45"/>
      <c r="D38" s="46"/>
      <c r="E38" s="47"/>
      <c r="F38" s="46"/>
      <c r="G38" s="48"/>
      <c r="H38" s="11" t="str">
        <f t="shared" si="0"/>
        <v/>
      </c>
      <c r="I38" s="11" t="str">
        <f t="shared" si="1"/>
        <v/>
      </c>
      <c r="J38" s="12" t="str">
        <f t="shared" si="2"/>
        <v/>
      </c>
      <c r="K38" s="24"/>
      <c r="L38" s="24"/>
      <c r="M38" s="21"/>
    </row>
    <row r="39" spans="2:13" x14ac:dyDescent="0.2">
      <c r="B39" s="28"/>
      <c r="C39" s="45"/>
      <c r="D39" s="46"/>
      <c r="E39" s="47"/>
      <c r="F39" s="46"/>
      <c r="G39" s="48"/>
      <c r="H39" s="11" t="str">
        <f t="shared" si="0"/>
        <v/>
      </c>
      <c r="I39" s="11" t="str">
        <f t="shared" si="1"/>
        <v/>
      </c>
      <c r="J39" s="12" t="str">
        <f t="shared" si="2"/>
        <v/>
      </c>
      <c r="K39" s="24"/>
      <c r="L39" s="24"/>
      <c r="M39" s="21"/>
    </row>
    <row r="40" spans="2:13" x14ac:dyDescent="0.2">
      <c r="B40" s="28"/>
      <c r="C40" s="45"/>
      <c r="D40" s="46"/>
      <c r="E40" s="47"/>
      <c r="F40" s="46"/>
      <c r="G40" s="48"/>
      <c r="H40" s="11" t="str">
        <f t="shared" si="0"/>
        <v/>
      </c>
      <c r="I40" s="11" t="str">
        <f t="shared" si="1"/>
        <v/>
      </c>
      <c r="J40" s="12" t="str">
        <f t="shared" si="2"/>
        <v/>
      </c>
      <c r="K40" s="24"/>
      <c r="L40" s="24"/>
      <c r="M40" s="21"/>
    </row>
    <row r="41" spans="2:13" x14ac:dyDescent="0.2">
      <c r="B41" s="28"/>
      <c r="C41" s="45"/>
      <c r="D41" s="46"/>
      <c r="E41" s="47"/>
      <c r="F41" s="46"/>
      <c r="G41" s="48"/>
      <c r="H41" s="11" t="str">
        <f t="shared" si="0"/>
        <v/>
      </c>
      <c r="I41" s="11" t="str">
        <f t="shared" si="1"/>
        <v/>
      </c>
      <c r="J41" s="12" t="str">
        <f t="shared" si="2"/>
        <v/>
      </c>
      <c r="K41" s="24"/>
      <c r="L41" s="24"/>
      <c r="M41" s="21"/>
    </row>
    <row r="42" spans="2:13" x14ac:dyDescent="0.2">
      <c r="B42" s="28"/>
      <c r="C42" s="45"/>
      <c r="D42" s="46"/>
      <c r="E42" s="47"/>
      <c r="F42" s="46"/>
      <c r="G42" s="48"/>
      <c r="H42" s="11" t="str">
        <f t="shared" si="0"/>
        <v/>
      </c>
      <c r="I42" s="11" t="str">
        <f t="shared" si="1"/>
        <v/>
      </c>
      <c r="J42" s="12" t="str">
        <f t="shared" si="2"/>
        <v/>
      </c>
      <c r="K42" s="24"/>
      <c r="L42" s="24"/>
      <c r="M42" s="21"/>
    </row>
    <row r="43" spans="2:13" x14ac:dyDescent="0.2">
      <c r="B43" s="28"/>
      <c r="C43" s="45"/>
      <c r="D43" s="46"/>
      <c r="E43" s="47"/>
      <c r="F43" s="46"/>
      <c r="G43" s="48"/>
      <c r="H43" s="11" t="str">
        <f t="shared" si="0"/>
        <v/>
      </c>
      <c r="I43" s="11" t="str">
        <f t="shared" si="1"/>
        <v/>
      </c>
      <c r="J43" s="12" t="str">
        <f t="shared" si="2"/>
        <v/>
      </c>
      <c r="K43" s="24"/>
      <c r="L43" s="24"/>
      <c r="M43" s="21"/>
    </row>
    <row r="44" spans="2:13" x14ac:dyDescent="0.2">
      <c r="B44" s="28"/>
      <c r="C44" s="45"/>
      <c r="D44" s="46"/>
      <c r="E44" s="47"/>
      <c r="F44" s="46"/>
      <c r="G44" s="48"/>
      <c r="H44" s="11" t="str">
        <f t="shared" si="0"/>
        <v/>
      </c>
      <c r="I44" s="11" t="str">
        <f t="shared" si="1"/>
        <v/>
      </c>
      <c r="J44" s="12" t="str">
        <f t="shared" si="2"/>
        <v/>
      </c>
      <c r="K44" s="24"/>
      <c r="L44" s="24"/>
      <c r="M44" s="21"/>
    </row>
    <row r="45" spans="2:13" x14ac:dyDescent="0.2">
      <c r="B45" s="28"/>
      <c r="C45" s="45"/>
      <c r="D45" s="46"/>
      <c r="E45" s="47"/>
      <c r="F45" s="46"/>
      <c r="G45" s="48"/>
      <c r="H45" s="11" t="str">
        <f t="shared" si="0"/>
        <v/>
      </c>
      <c r="I45" s="11" t="str">
        <f t="shared" si="1"/>
        <v/>
      </c>
      <c r="J45" s="12" t="str">
        <f t="shared" si="2"/>
        <v/>
      </c>
      <c r="K45" s="24"/>
      <c r="L45" s="24"/>
      <c r="M45" s="21"/>
    </row>
    <row r="46" spans="2:13" x14ac:dyDescent="0.2">
      <c r="B46" s="28"/>
      <c r="C46" s="45"/>
      <c r="D46" s="46"/>
      <c r="E46" s="47"/>
      <c r="F46" s="46"/>
      <c r="G46" s="48"/>
      <c r="H46" s="11" t="str">
        <f t="shared" si="0"/>
        <v/>
      </c>
      <c r="I46" s="11" t="str">
        <f t="shared" si="1"/>
        <v/>
      </c>
      <c r="J46" s="12" t="str">
        <f t="shared" si="2"/>
        <v/>
      </c>
      <c r="K46" s="24"/>
      <c r="L46" s="24"/>
      <c r="M46" s="21"/>
    </row>
    <row r="47" spans="2:13" x14ac:dyDescent="0.2">
      <c r="B47" s="28"/>
      <c r="C47" s="45"/>
      <c r="D47" s="46"/>
      <c r="E47" s="47"/>
      <c r="F47" s="46"/>
      <c r="G47" s="48"/>
      <c r="H47" s="11" t="str">
        <f t="shared" si="0"/>
        <v/>
      </c>
      <c r="I47" s="11" t="str">
        <f t="shared" si="1"/>
        <v/>
      </c>
      <c r="J47" s="12" t="str">
        <f t="shared" si="2"/>
        <v/>
      </c>
      <c r="K47" s="24"/>
      <c r="L47" s="24"/>
      <c r="M47" s="21"/>
    </row>
    <row r="48" spans="2:13" x14ac:dyDescent="0.2">
      <c r="B48" s="28"/>
      <c r="C48" s="45"/>
      <c r="D48" s="46"/>
      <c r="E48" s="47"/>
      <c r="F48" s="46"/>
      <c r="G48" s="48"/>
      <c r="H48" s="11" t="str">
        <f t="shared" si="0"/>
        <v/>
      </c>
      <c r="I48" s="11" t="str">
        <f t="shared" si="1"/>
        <v/>
      </c>
      <c r="J48" s="12" t="str">
        <f t="shared" si="2"/>
        <v/>
      </c>
      <c r="K48" s="24"/>
      <c r="L48" s="24"/>
      <c r="M48" s="21"/>
    </row>
    <row r="49" spans="2:13" x14ac:dyDescent="0.2">
      <c r="B49" s="28"/>
      <c r="C49" s="45"/>
      <c r="D49" s="46"/>
      <c r="E49" s="47"/>
      <c r="F49" s="46"/>
      <c r="G49" s="48"/>
      <c r="H49" s="11" t="str">
        <f t="shared" si="0"/>
        <v/>
      </c>
      <c r="I49" s="11" t="str">
        <f t="shared" si="1"/>
        <v/>
      </c>
      <c r="J49" s="12" t="str">
        <f t="shared" si="2"/>
        <v/>
      </c>
      <c r="K49" s="24"/>
      <c r="L49" s="24"/>
      <c r="M49" s="21"/>
    </row>
    <row r="50" spans="2:13" x14ac:dyDescent="0.2">
      <c r="B50" s="28"/>
      <c r="C50" s="45"/>
      <c r="D50" s="46"/>
      <c r="E50" s="47"/>
      <c r="F50" s="46"/>
      <c r="G50" s="48"/>
      <c r="H50" s="11" t="str">
        <f t="shared" si="0"/>
        <v/>
      </c>
      <c r="I50" s="11" t="str">
        <f t="shared" si="1"/>
        <v/>
      </c>
      <c r="J50" s="12" t="str">
        <f t="shared" si="2"/>
        <v/>
      </c>
      <c r="K50" s="24"/>
      <c r="L50" s="24"/>
      <c r="M50" s="21"/>
    </row>
    <row r="51" spans="2:13" x14ac:dyDescent="0.2">
      <c r="B51" s="28"/>
      <c r="C51" s="45"/>
      <c r="D51" s="46"/>
      <c r="E51" s="47"/>
      <c r="F51" s="46"/>
      <c r="G51" s="48"/>
      <c r="H51" s="11" t="str">
        <f t="shared" si="0"/>
        <v/>
      </c>
      <c r="I51" s="11" t="str">
        <f t="shared" si="1"/>
        <v/>
      </c>
      <c r="J51" s="12" t="str">
        <f t="shared" si="2"/>
        <v/>
      </c>
      <c r="K51" s="24"/>
      <c r="L51" s="24"/>
      <c r="M51" s="21"/>
    </row>
    <row r="52" spans="2:13" x14ac:dyDescent="0.2">
      <c r="B52" s="28"/>
      <c r="C52" s="45"/>
      <c r="D52" s="46"/>
      <c r="E52" s="47"/>
      <c r="F52" s="46"/>
      <c r="G52" s="48"/>
      <c r="H52" s="11" t="str">
        <f t="shared" si="0"/>
        <v/>
      </c>
      <c r="I52" s="11" t="str">
        <f t="shared" si="1"/>
        <v/>
      </c>
      <c r="J52" s="12" t="str">
        <f t="shared" si="2"/>
        <v/>
      </c>
      <c r="K52" s="24"/>
      <c r="L52" s="24"/>
      <c r="M52" s="21"/>
    </row>
    <row r="53" spans="2:13" x14ac:dyDescent="0.2">
      <c r="B53" s="28"/>
      <c r="C53" s="45"/>
      <c r="D53" s="46"/>
      <c r="E53" s="47"/>
      <c r="F53" s="46"/>
      <c r="G53" s="48"/>
      <c r="H53" s="11" t="str">
        <f t="shared" si="0"/>
        <v/>
      </c>
      <c r="I53" s="11" t="str">
        <f t="shared" si="1"/>
        <v/>
      </c>
      <c r="J53" s="12" t="str">
        <f t="shared" si="2"/>
        <v/>
      </c>
      <c r="K53" s="24"/>
      <c r="L53" s="24"/>
      <c r="M53" s="21"/>
    </row>
    <row r="54" spans="2:13" x14ac:dyDescent="0.2">
      <c r="B54" s="28"/>
      <c r="C54" s="45"/>
      <c r="D54" s="46"/>
      <c r="E54" s="47"/>
      <c r="F54" s="46"/>
      <c r="G54" s="48"/>
      <c r="H54" s="11" t="str">
        <f t="shared" si="0"/>
        <v/>
      </c>
      <c r="I54" s="11" t="str">
        <f t="shared" si="1"/>
        <v/>
      </c>
      <c r="J54" s="12" t="str">
        <f t="shared" si="2"/>
        <v/>
      </c>
      <c r="K54" s="24"/>
      <c r="L54" s="24"/>
      <c r="M54" s="21"/>
    </row>
    <row r="55" spans="2:13" x14ac:dyDescent="0.2">
      <c r="B55" s="28"/>
      <c r="C55" s="45"/>
      <c r="D55" s="46"/>
      <c r="E55" s="47"/>
      <c r="F55" s="46"/>
      <c r="G55" s="48"/>
      <c r="H55" s="11" t="str">
        <f t="shared" si="0"/>
        <v/>
      </c>
      <c r="I55" s="11" t="str">
        <f t="shared" si="1"/>
        <v/>
      </c>
      <c r="J55" s="12" t="str">
        <f t="shared" si="2"/>
        <v/>
      </c>
      <c r="K55" s="24"/>
      <c r="L55" s="24"/>
      <c r="M55" s="21"/>
    </row>
    <row r="56" spans="2:13" x14ac:dyDescent="0.2">
      <c r="B56" s="28"/>
      <c r="C56" s="45"/>
      <c r="D56" s="46"/>
      <c r="E56" s="47"/>
      <c r="F56" s="46"/>
      <c r="G56" s="48"/>
      <c r="H56" s="11" t="str">
        <f t="shared" si="0"/>
        <v/>
      </c>
      <c r="I56" s="11" t="str">
        <f t="shared" si="1"/>
        <v/>
      </c>
      <c r="J56" s="12" t="str">
        <f t="shared" si="2"/>
        <v/>
      </c>
      <c r="K56" s="24"/>
      <c r="L56" s="24"/>
      <c r="M56" s="21"/>
    </row>
    <row r="57" spans="2:13" x14ac:dyDescent="0.2">
      <c r="B57" s="28"/>
      <c r="C57" s="45"/>
      <c r="D57" s="46"/>
      <c r="E57" s="47"/>
      <c r="F57" s="46"/>
      <c r="G57" s="48"/>
      <c r="H57" s="11" t="str">
        <f t="shared" si="0"/>
        <v/>
      </c>
      <c r="I57" s="11" t="str">
        <f t="shared" si="1"/>
        <v/>
      </c>
      <c r="J57" s="12" t="str">
        <f t="shared" si="2"/>
        <v/>
      </c>
      <c r="K57" s="24"/>
      <c r="L57" s="24"/>
      <c r="M57" s="21"/>
    </row>
    <row r="58" spans="2:13" x14ac:dyDescent="0.2">
      <c r="B58" s="28"/>
      <c r="C58" s="45"/>
      <c r="D58" s="46"/>
      <c r="E58" s="47"/>
      <c r="F58" s="46"/>
      <c r="G58" s="48"/>
      <c r="H58" s="11" t="str">
        <f t="shared" si="0"/>
        <v/>
      </c>
      <c r="I58" s="11" t="str">
        <f t="shared" si="1"/>
        <v/>
      </c>
      <c r="J58" s="12" t="str">
        <f t="shared" si="2"/>
        <v/>
      </c>
      <c r="K58" s="24"/>
      <c r="L58" s="24"/>
      <c r="M58" s="21"/>
    </row>
    <row r="59" spans="2:13" x14ac:dyDescent="0.2">
      <c r="B59" s="28"/>
      <c r="C59" s="45"/>
      <c r="D59" s="46"/>
      <c r="E59" s="47"/>
      <c r="F59" s="46"/>
      <c r="G59" s="48"/>
      <c r="H59" s="11" t="str">
        <f t="shared" si="0"/>
        <v/>
      </c>
      <c r="I59" s="11" t="str">
        <f t="shared" si="1"/>
        <v/>
      </c>
      <c r="J59" s="12" t="str">
        <f t="shared" si="2"/>
        <v/>
      </c>
      <c r="K59" s="24"/>
      <c r="L59" s="24"/>
      <c r="M59" s="21"/>
    </row>
    <row r="60" spans="2:13" x14ac:dyDescent="0.2">
      <c r="B60" s="28"/>
      <c r="C60" s="45"/>
      <c r="D60" s="46"/>
      <c r="E60" s="47"/>
      <c r="F60" s="46"/>
      <c r="G60" s="48"/>
      <c r="H60" s="11" t="str">
        <f t="shared" si="0"/>
        <v/>
      </c>
      <c r="I60" s="11" t="str">
        <f t="shared" si="1"/>
        <v/>
      </c>
      <c r="J60" s="12" t="str">
        <f t="shared" si="2"/>
        <v/>
      </c>
      <c r="K60" s="24"/>
      <c r="L60" s="24"/>
      <c r="M60" s="21"/>
    </row>
    <row r="61" spans="2:13" x14ac:dyDescent="0.2">
      <c r="B61" s="28"/>
      <c r="C61" s="45"/>
      <c r="D61" s="46"/>
      <c r="E61" s="47"/>
      <c r="F61" s="46"/>
      <c r="G61" s="48"/>
      <c r="H61" s="11" t="str">
        <f t="shared" si="0"/>
        <v/>
      </c>
      <c r="I61" s="11" t="str">
        <f t="shared" si="1"/>
        <v/>
      </c>
      <c r="J61" s="12" t="str">
        <f t="shared" si="2"/>
        <v/>
      </c>
      <c r="K61" s="24"/>
      <c r="L61" s="24"/>
      <c r="M61" s="21"/>
    </row>
    <row r="62" spans="2:13" x14ac:dyDescent="0.2">
      <c r="B62" s="28"/>
      <c r="C62" s="45"/>
      <c r="D62" s="46"/>
      <c r="E62" s="47"/>
      <c r="F62" s="46"/>
      <c r="G62" s="48"/>
      <c r="H62" s="11" t="str">
        <f t="shared" si="0"/>
        <v/>
      </c>
      <c r="I62" s="11" t="str">
        <f t="shared" si="1"/>
        <v/>
      </c>
      <c r="J62" s="12" t="str">
        <f t="shared" si="2"/>
        <v/>
      </c>
      <c r="K62" s="24"/>
      <c r="L62" s="24"/>
      <c r="M62" s="21"/>
    </row>
    <row r="63" spans="2:13" x14ac:dyDescent="0.2">
      <c r="B63" s="28"/>
      <c r="C63" s="45"/>
      <c r="D63" s="46"/>
      <c r="E63" s="47"/>
      <c r="F63" s="46"/>
      <c r="G63" s="48"/>
      <c r="H63" s="11" t="str">
        <f t="shared" si="0"/>
        <v/>
      </c>
      <c r="I63" s="11" t="str">
        <f t="shared" si="1"/>
        <v/>
      </c>
      <c r="J63" s="12" t="str">
        <f t="shared" si="2"/>
        <v/>
      </c>
      <c r="K63" s="24"/>
      <c r="L63" s="24"/>
      <c r="M63" s="21"/>
    </row>
    <row r="64" spans="2:13" x14ac:dyDescent="0.2">
      <c r="B64" s="28"/>
      <c r="C64" s="45"/>
      <c r="D64" s="46"/>
      <c r="E64" s="47"/>
      <c r="F64" s="46"/>
      <c r="G64" s="48"/>
      <c r="H64" s="11" t="str">
        <f t="shared" si="0"/>
        <v/>
      </c>
      <c r="I64" s="11" t="str">
        <f t="shared" si="1"/>
        <v/>
      </c>
      <c r="J64" s="12" t="str">
        <f t="shared" si="2"/>
        <v/>
      </c>
      <c r="K64" s="24"/>
      <c r="L64" s="24"/>
      <c r="M64" s="21"/>
    </row>
    <row r="65" spans="2:13" x14ac:dyDescent="0.2">
      <c r="B65" s="28"/>
      <c r="C65" s="45"/>
      <c r="D65" s="46"/>
      <c r="E65" s="47"/>
      <c r="F65" s="46"/>
      <c r="G65" s="48"/>
      <c r="H65" s="11" t="str">
        <f t="shared" si="0"/>
        <v/>
      </c>
      <c r="I65" s="11" t="str">
        <f t="shared" si="1"/>
        <v/>
      </c>
      <c r="J65" s="12" t="str">
        <f t="shared" si="2"/>
        <v/>
      </c>
      <c r="K65" s="24"/>
      <c r="L65" s="24"/>
      <c r="M65" s="21"/>
    </row>
    <row r="66" spans="2:13" x14ac:dyDescent="0.2">
      <c r="B66" s="28"/>
      <c r="C66" s="45"/>
      <c r="D66" s="46"/>
      <c r="E66" s="47"/>
      <c r="F66" s="46"/>
      <c r="G66" s="48"/>
      <c r="H66" s="11" t="str">
        <f t="shared" si="0"/>
        <v/>
      </c>
      <c r="I66" s="11" t="str">
        <f t="shared" si="1"/>
        <v/>
      </c>
      <c r="J66" s="12" t="str">
        <f t="shared" si="2"/>
        <v/>
      </c>
      <c r="K66" s="24"/>
      <c r="L66" s="24"/>
      <c r="M66" s="21"/>
    </row>
    <row r="67" spans="2:13" x14ac:dyDescent="0.2">
      <c r="B67" s="28"/>
      <c r="C67" s="45"/>
      <c r="D67" s="46"/>
      <c r="E67" s="47"/>
      <c r="F67" s="46"/>
      <c r="G67" s="48"/>
      <c r="H67" s="11" t="str">
        <f t="shared" si="0"/>
        <v/>
      </c>
      <c r="I67" s="11" t="str">
        <f t="shared" si="1"/>
        <v/>
      </c>
      <c r="J67" s="12" t="str">
        <f t="shared" si="2"/>
        <v/>
      </c>
      <c r="K67" s="24"/>
      <c r="L67" s="24"/>
      <c r="M67" s="21"/>
    </row>
    <row r="68" spans="2:13" x14ac:dyDescent="0.2">
      <c r="B68" s="28"/>
      <c r="C68" s="45"/>
      <c r="D68" s="46"/>
      <c r="E68" s="47"/>
      <c r="F68" s="46"/>
      <c r="G68" s="48"/>
      <c r="H68" s="11" t="str">
        <f t="shared" si="0"/>
        <v/>
      </c>
      <c r="I68" s="11" t="str">
        <f t="shared" si="1"/>
        <v/>
      </c>
      <c r="J68" s="12" t="str">
        <f t="shared" si="2"/>
        <v/>
      </c>
      <c r="K68" s="24"/>
      <c r="L68" s="24"/>
      <c r="M68" s="21"/>
    </row>
    <row r="69" spans="2:13" x14ac:dyDescent="0.2">
      <c r="B69" s="28"/>
      <c r="C69" s="45"/>
      <c r="D69" s="46"/>
      <c r="E69" s="47"/>
      <c r="F69" s="46"/>
      <c r="G69" s="48"/>
      <c r="H69" s="11" t="str">
        <f t="shared" si="0"/>
        <v/>
      </c>
      <c r="I69" s="11" t="str">
        <f t="shared" si="1"/>
        <v/>
      </c>
      <c r="J69" s="12" t="str">
        <f t="shared" si="2"/>
        <v/>
      </c>
      <c r="K69" s="24"/>
      <c r="L69" s="24"/>
      <c r="M69" s="21"/>
    </row>
    <row r="70" spans="2:13" x14ac:dyDescent="0.2">
      <c r="B70" s="28"/>
      <c r="C70" s="45"/>
      <c r="D70" s="46"/>
      <c r="E70" s="47"/>
      <c r="F70" s="46"/>
      <c r="G70" s="48"/>
      <c r="H70" s="11" t="str">
        <f t="shared" si="0"/>
        <v/>
      </c>
      <c r="I70" s="11" t="str">
        <f t="shared" si="1"/>
        <v/>
      </c>
      <c r="J70" s="12" t="str">
        <f t="shared" si="2"/>
        <v/>
      </c>
      <c r="K70" s="24"/>
      <c r="L70" s="24"/>
      <c r="M70" s="21"/>
    </row>
    <row r="71" spans="2:13" x14ac:dyDescent="0.2">
      <c r="B71" s="28"/>
      <c r="C71" s="45"/>
      <c r="D71" s="46"/>
      <c r="E71" s="47"/>
      <c r="F71" s="46"/>
      <c r="G71" s="48"/>
      <c r="H71" s="11" t="str">
        <f t="shared" si="0"/>
        <v/>
      </c>
      <c r="I71" s="11" t="str">
        <f t="shared" si="1"/>
        <v/>
      </c>
      <c r="J71" s="12" t="str">
        <f t="shared" si="2"/>
        <v/>
      </c>
      <c r="K71" s="24"/>
      <c r="L71" s="24"/>
      <c r="M71" s="21"/>
    </row>
    <row r="72" spans="2:13" x14ac:dyDescent="0.2">
      <c r="B72" s="28"/>
      <c r="C72" s="45"/>
      <c r="D72" s="46"/>
      <c r="E72" s="47"/>
      <c r="F72" s="46"/>
      <c r="G72" s="48"/>
      <c r="H72" s="11" t="str">
        <f t="shared" si="0"/>
        <v/>
      </c>
      <c r="I72" s="11" t="str">
        <f t="shared" si="1"/>
        <v/>
      </c>
      <c r="J72" s="12" t="str">
        <f t="shared" si="2"/>
        <v/>
      </c>
      <c r="K72" s="24"/>
      <c r="L72" s="24"/>
      <c r="M72" s="21"/>
    </row>
    <row r="73" spans="2:13" x14ac:dyDescent="0.2">
      <c r="B73" s="28"/>
      <c r="C73" s="45"/>
      <c r="D73" s="46"/>
      <c r="E73" s="47"/>
      <c r="F73" s="46"/>
      <c r="G73" s="48"/>
      <c r="H73" s="11" t="str">
        <f t="shared" si="0"/>
        <v/>
      </c>
      <c r="I73" s="11" t="str">
        <f t="shared" si="1"/>
        <v/>
      </c>
      <c r="J73" s="12" t="str">
        <f t="shared" si="2"/>
        <v/>
      </c>
      <c r="K73" s="24"/>
      <c r="L73" s="24"/>
      <c r="M73" s="21"/>
    </row>
    <row r="74" spans="2:13" x14ac:dyDescent="0.2">
      <c r="B74" s="28"/>
      <c r="C74" s="45"/>
      <c r="D74" s="46"/>
      <c r="E74" s="47"/>
      <c r="F74" s="46"/>
      <c r="G74" s="48"/>
      <c r="H74" s="11" t="str">
        <f t="shared" si="0"/>
        <v/>
      </c>
      <c r="I74" s="11" t="str">
        <f t="shared" si="1"/>
        <v/>
      </c>
      <c r="J74" s="12" t="str">
        <f t="shared" si="2"/>
        <v/>
      </c>
      <c r="K74" s="24"/>
      <c r="L74" s="24"/>
      <c r="M74" s="21"/>
    </row>
    <row r="75" spans="2:13" x14ac:dyDescent="0.2">
      <c r="B75" s="28"/>
      <c r="C75" s="45"/>
      <c r="D75" s="46"/>
      <c r="E75" s="47"/>
      <c r="F75" s="46"/>
      <c r="G75" s="48"/>
      <c r="H75" s="11" t="str">
        <f t="shared" si="0"/>
        <v/>
      </c>
      <c r="I75" s="11" t="str">
        <f t="shared" si="1"/>
        <v/>
      </c>
      <c r="J75" s="12" t="str">
        <f t="shared" si="2"/>
        <v/>
      </c>
      <c r="K75" s="24"/>
      <c r="L75" s="24"/>
      <c r="M75" s="21"/>
    </row>
    <row r="76" spans="2:13" x14ac:dyDescent="0.2">
      <c r="B76" s="28"/>
      <c r="C76" s="45"/>
      <c r="D76" s="46"/>
      <c r="E76" s="47"/>
      <c r="F76" s="46"/>
      <c r="G76" s="48"/>
      <c r="H76" s="11" t="str">
        <f t="shared" si="0"/>
        <v/>
      </c>
      <c r="I76" s="11" t="str">
        <f t="shared" si="1"/>
        <v/>
      </c>
      <c r="J76" s="12" t="str">
        <f t="shared" si="2"/>
        <v/>
      </c>
      <c r="K76" s="24"/>
      <c r="L76" s="24"/>
      <c r="M76" s="21"/>
    </row>
    <row r="77" spans="2:13" x14ac:dyDescent="0.2">
      <c r="B77" s="28"/>
      <c r="C77" s="45"/>
      <c r="D77" s="46"/>
      <c r="E77" s="47"/>
      <c r="F77" s="46"/>
      <c r="G77" s="48"/>
      <c r="H77" s="11" t="str">
        <f t="shared" si="0"/>
        <v/>
      </c>
      <c r="I77" s="11" t="str">
        <f t="shared" si="1"/>
        <v/>
      </c>
      <c r="J77" s="12" t="str">
        <f t="shared" si="2"/>
        <v/>
      </c>
      <c r="K77" s="24"/>
      <c r="L77" s="24"/>
      <c r="M77" s="21"/>
    </row>
    <row r="78" spans="2:13" x14ac:dyDescent="0.2">
      <c r="B78" s="28"/>
      <c r="C78" s="45"/>
      <c r="D78" s="46"/>
      <c r="E78" s="47"/>
      <c r="F78" s="46"/>
      <c r="G78" s="48"/>
      <c r="H78" s="11" t="str">
        <f t="shared" si="0"/>
        <v/>
      </c>
      <c r="I78" s="11" t="str">
        <f t="shared" si="1"/>
        <v/>
      </c>
      <c r="J78" s="12" t="str">
        <f t="shared" si="2"/>
        <v/>
      </c>
      <c r="K78" s="24"/>
      <c r="L78" s="24"/>
      <c r="M78" s="21"/>
    </row>
    <row r="79" spans="2:13" x14ac:dyDescent="0.2">
      <c r="B79" s="28"/>
      <c r="C79" s="45"/>
      <c r="D79" s="46"/>
      <c r="E79" s="47"/>
      <c r="F79" s="46"/>
      <c r="G79" s="48"/>
      <c r="H79" s="11" t="str">
        <f t="shared" si="0"/>
        <v/>
      </c>
      <c r="I79" s="11" t="str">
        <f t="shared" si="1"/>
        <v/>
      </c>
      <c r="J79" s="12" t="str">
        <f t="shared" si="2"/>
        <v/>
      </c>
      <c r="K79" s="24"/>
      <c r="L79" s="24"/>
      <c r="M79" s="21"/>
    </row>
    <row r="80" spans="2:13" x14ac:dyDescent="0.2">
      <c r="B80" s="28"/>
      <c r="C80" s="45"/>
      <c r="D80" s="46"/>
      <c r="E80" s="47"/>
      <c r="F80" s="46"/>
      <c r="G80" s="48"/>
      <c r="H80" s="11" t="str">
        <f t="shared" si="0"/>
        <v/>
      </c>
      <c r="I80" s="11" t="str">
        <f t="shared" si="1"/>
        <v/>
      </c>
      <c r="J80" s="12" t="str">
        <f t="shared" si="2"/>
        <v/>
      </c>
      <c r="K80" s="24"/>
      <c r="L80" s="24"/>
      <c r="M80" s="21"/>
    </row>
    <row r="81" spans="2:13" x14ac:dyDescent="0.2">
      <c r="B81" s="28"/>
      <c r="C81" s="45"/>
      <c r="D81" s="46"/>
      <c r="E81" s="47"/>
      <c r="F81" s="46"/>
      <c r="G81" s="48"/>
      <c r="H81" s="11" t="str">
        <f t="shared" si="0"/>
        <v/>
      </c>
      <c r="I81" s="11" t="str">
        <f t="shared" si="1"/>
        <v/>
      </c>
      <c r="J81" s="12" t="str">
        <f t="shared" si="2"/>
        <v/>
      </c>
      <c r="K81" s="24"/>
      <c r="L81" s="24"/>
      <c r="M81" s="21"/>
    </row>
    <row r="82" spans="2:13" x14ac:dyDescent="0.2">
      <c r="B82" s="28"/>
      <c r="C82" s="45"/>
      <c r="D82" s="46"/>
      <c r="E82" s="47"/>
      <c r="F82" s="46"/>
      <c r="G82" s="48"/>
      <c r="H82" s="11" t="str">
        <f t="shared" si="0"/>
        <v/>
      </c>
      <c r="I82" s="11" t="str">
        <f t="shared" si="1"/>
        <v/>
      </c>
      <c r="J82" s="12" t="str">
        <f t="shared" si="2"/>
        <v/>
      </c>
      <c r="K82" s="24"/>
      <c r="L82" s="24"/>
      <c r="M82" s="21"/>
    </row>
    <row r="83" spans="2:13" x14ac:dyDescent="0.2">
      <c r="B83" s="28"/>
      <c r="C83" s="45"/>
      <c r="D83" s="46"/>
      <c r="E83" s="47"/>
      <c r="F83" s="46"/>
      <c r="G83" s="48"/>
      <c r="H83" s="11" t="str">
        <f t="shared" si="0"/>
        <v/>
      </c>
      <c r="I83" s="11" t="str">
        <f t="shared" si="1"/>
        <v/>
      </c>
      <c r="J83" s="12" t="str">
        <f t="shared" si="2"/>
        <v/>
      </c>
      <c r="K83" s="24"/>
      <c r="L83" s="24"/>
      <c r="M83" s="21"/>
    </row>
    <row r="84" spans="2:13" x14ac:dyDescent="0.2">
      <c r="B84" s="28"/>
      <c r="C84" s="45"/>
      <c r="D84" s="46"/>
      <c r="E84" s="47"/>
      <c r="F84" s="46"/>
      <c r="G84" s="48"/>
      <c r="H84" s="11" t="str">
        <f t="shared" si="0"/>
        <v/>
      </c>
      <c r="I84" s="11" t="str">
        <f t="shared" si="1"/>
        <v/>
      </c>
      <c r="J84" s="12" t="str">
        <f t="shared" si="2"/>
        <v/>
      </c>
      <c r="K84" s="24"/>
      <c r="L84" s="24"/>
      <c r="M84" s="21"/>
    </row>
    <row r="85" spans="2:13" x14ac:dyDescent="0.2">
      <c r="B85" s="28"/>
      <c r="C85" s="45"/>
      <c r="D85" s="46"/>
      <c r="E85" s="47"/>
      <c r="F85" s="46"/>
      <c r="G85" s="48"/>
      <c r="H85" s="11" t="str">
        <f t="shared" si="0"/>
        <v/>
      </c>
      <c r="I85" s="11" t="str">
        <f t="shared" si="1"/>
        <v/>
      </c>
      <c r="J85" s="12" t="str">
        <f t="shared" si="2"/>
        <v/>
      </c>
      <c r="K85" s="24"/>
      <c r="L85" s="24"/>
      <c r="M85" s="21"/>
    </row>
    <row r="86" spans="2:13" x14ac:dyDescent="0.2">
      <c r="B86" s="28"/>
      <c r="C86" s="45"/>
      <c r="D86" s="46"/>
      <c r="E86" s="47"/>
      <c r="F86" s="46"/>
      <c r="G86" s="48"/>
      <c r="H86" s="11" t="str">
        <f t="shared" si="0"/>
        <v/>
      </c>
      <c r="I86" s="11" t="str">
        <f t="shared" si="1"/>
        <v/>
      </c>
      <c r="J86" s="12" t="str">
        <f t="shared" si="2"/>
        <v/>
      </c>
      <c r="K86" s="24"/>
      <c r="L86" s="24"/>
      <c r="M86" s="21"/>
    </row>
    <row r="87" spans="2:13" x14ac:dyDescent="0.2">
      <c r="B87" s="28"/>
      <c r="C87" s="45"/>
      <c r="D87" s="46"/>
      <c r="E87" s="47"/>
      <c r="F87" s="46"/>
      <c r="G87" s="48"/>
      <c r="H87" s="11" t="str">
        <f t="shared" si="0"/>
        <v/>
      </c>
      <c r="I87" s="11" t="str">
        <f t="shared" si="1"/>
        <v/>
      </c>
      <c r="J87" s="12" t="str">
        <f t="shared" si="2"/>
        <v/>
      </c>
      <c r="K87" s="24"/>
      <c r="L87" s="24"/>
      <c r="M87" s="21"/>
    </row>
    <row r="88" spans="2:13" x14ac:dyDescent="0.2">
      <c r="B88" s="28"/>
      <c r="C88" s="45"/>
      <c r="D88" s="46"/>
      <c r="E88" s="47"/>
      <c r="F88" s="46"/>
      <c r="G88" s="48"/>
      <c r="H88" s="11" t="str">
        <f t="shared" si="0"/>
        <v/>
      </c>
      <c r="I88" s="11" t="str">
        <f t="shared" si="1"/>
        <v/>
      </c>
      <c r="J88" s="12" t="str">
        <f t="shared" si="2"/>
        <v/>
      </c>
      <c r="K88" s="24"/>
      <c r="L88" s="24"/>
      <c r="M88" s="21"/>
    </row>
    <row r="89" spans="2:13" x14ac:dyDescent="0.2">
      <c r="B89" s="28"/>
      <c r="C89" s="45"/>
      <c r="D89" s="46"/>
      <c r="E89" s="47"/>
      <c r="F89" s="46"/>
      <c r="G89" s="48"/>
      <c r="H89" s="11" t="str">
        <f t="shared" si="0"/>
        <v/>
      </c>
      <c r="I89" s="11" t="str">
        <f t="shared" si="1"/>
        <v/>
      </c>
      <c r="J89" s="12" t="str">
        <f t="shared" si="2"/>
        <v/>
      </c>
      <c r="K89" s="24"/>
      <c r="L89" s="24"/>
      <c r="M89" s="21"/>
    </row>
    <row r="90" spans="2:13" x14ac:dyDescent="0.2">
      <c r="B90" s="28"/>
      <c r="C90" s="45"/>
      <c r="D90" s="46"/>
      <c r="E90" s="47"/>
      <c r="F90" s="46"/>
      <c r="G90" s="48"/>
      <c r="H90" s="11" t="str">
        <f t="shared" si="0"/>
        <v/>
      </c>
      <c r="I90" s="11" t="str">
        <f t="shared" si="1"/>
        <v/>
      </c>
      <c r="J90" s="12" t="str">
        <f t="shared" si="2"/>
        <v/>
      </c>
      <c r="K90" s="24"/>
      <c r="L90" s="24"/>
      <c r="M90" s="21"/>
    </row>
    <row r="91" spans="2:13" x14ac:dyDescent="0.2">
      <c r="B91" s="28"/>
      <c r="C91" s="45"/>
      <c r="D91" s="46"/>
      <c r="E91" s="47"/>
      <c r="F91" s="46"/>
      <c r="G91" s="48"/>
      <c r="H91" s="11" t="str">
        <f t="shared" si="0"/>
        <v/>
      </c>
      <c r="I91" s="11" t="str">
        <f t="shared" si="1"/>
        <v/>
      </c>
      <c r="J91" s="12" t="str">
        <f t="shared" si="2"/>
        <v/>
      </c>
      <c r="K91" s="24"/>
      <c r="L91" s="24"/>
      <c r="M91" s="21"/>
    </row>
    <row r="92" spans="2:13" x14ac:dyDescent="0.2">
      <c r="B92" s="28"/>
      <c r="C92" s="45"/>
      <c r="D92" s="46"/>
      <c r="E92" s="47"/>
      <c r="F92" s="46"/>
      <c r="G92" s="48"/>
      <c r="H92" s="11" t="str">
        <f t="shared" si="0"/>
        <v/>
      </c>
      <c r="I92" s="11" t="str">
        <f t="shared" si="1"/>
        <v/>
      </c>
      <c r="J92" s="12" t="str">
        <f t="shared" si="2"/>
        <v/>
      </c>
      <c r="K92" s="24"/>
      <c r="L92" s="24"/>
      <c r="M92" s="21"/>
    </row>
    <row r="93" spans="2:13" x14ac:dyDescent="0.2">
      <c r="B93" s="28"/>
      <c r="C93" s="45"/>
      <c r="D93" s="46"/>
      <c r="E93" s="47"/>
      <c r="F93" s="46"/>
      <c r="G93" s="48"/>
      <c r="H93" s="11" t="str">
        <f t="shared" si="0"/>
        <v/>
      </c>
      <c r="I93" s="11" t="str">
        <f t="shared" si="1"/>
        <v/>
      </c>
      <c r="J93" s="12" t="str">
        <f t="shared" si="2"/>
        <v/>
      </c>
      <c r="K93" s="24"/>
      <c r="L93" s="24"/>
      <c r="M93" s="21"/>
    </row>
    <row r="94" spans="2:13" x14ac:dyDescent="0.2">
      <c r="B94" s="28"/>
      <c r="C94" s="45"/>
      <c r="D94" s="46"/>
      <c r="E94" s="47"/>
      <c r="F94" s="46"/>
      <c r="G94" s="48"/>
      <c r="H94" s="11" t="str">
        <f t="shared" ref="H94:H157" si="3">IF(D94&gt;0,IF(F94="NORMAL",(ROUNDUP(D94/7,0))+2,0),"")</f>
        <v/>
      </c>
      <c r="I94" s="11" t="str">
        <f t="shared" ref="I94:I157" si="4">IF(D94&gt;0,IF(F94="IMMEDIATE",(ROUNDUP(D94/7,0))+2,0),"")</f>
        <v/>
      </c>
      <c r="J94" s="12" t="str">
        <f t="shared" ref="J94:J157" si="5">IF(D94&gt;0,(H94+I94)*E94,"")</f>
        <v/>
      </c>
      <c r="K94" s="24"/>
      <c r="L94" s="24"/>
      <c r="M94" s="21"/>
    </row>
    <row r="95" spans="2:13" x14ac:dyDescent="0.2">
      <c r="B95" s="28"/>
      <c r="C95" s="45"/>
      <c r="D95" s="46"/>
      <c r="E95" s="47"/>
      <c r="F95" s="46"/>
      <c r="G95" s="48"/>
      <c r="H95" s="11" t="str">
        <f t="shared" si="3"/>
        <v/>
      </c>
      <c r="I95" s="11" t="str">
        <f t="shared" si="4"/>
        <v/>
      </c>
      <c r="J95" s="12" t="str">
        <f t="shared" si="5"/>
        <v/>
      </c>
      <c r="K95" s="24"/>
      <c r="L95" s="24"/>
      <c r="M95" s="21"/>
    </row>
    <row r="96" spans="2:13" x14ac:dyDescent="0.2">
      <c r="B96" s="28"/>
      <c r="C96" s="45"/>
      <c r="D96" s="46"/>
      <c r="E96" s="47"/>
      <c r="F96" s="46"/>
      <c r="G96" s="48"/>
      <c r="H96" s="11" t="str">
        <f t="shared" si="3"/>
        <v/>
      </c>
      <c r="I96" s="11" t="str">
        <f t="shared" si="4"/>
        <v/>
      </c>
      <c r="J96" s="12" t="str">
        <f t="shared" si="5"/>
        <v/>
      </c>
      <c r="K96" s="24"/>
      <c r="L96" s="24"/>
      <c r="M96" s="21"/>
    </row>
    <row r="97" spans="2:13" x14ac:dyDescent="0.2">
      <c r="B97" s="28"/>
      <c r="C97" s="45"/>
      <c r="D97" s="46"/>
      <c r="E97" s="47"/>
      <c r="F97" s="46"/>
      <c r="G97" s="48"/>
      <c r="H97" s="11" t="str">
        <f t="shared" si="3"/>
        <v/>
      </c>
      <c r="I97" s="11" t="str">
        <f t="shared" si="4"/>
        <v/>
      </c>
      <c r="J97" s="12" t="str">
        <f t="shared" si="5"/>
        <v/>
      </c>
      <c r="K97" s="24"/>
      <c r="L97" s="24"/>
      <c r="M97" s="21"/>
    </row>
    <row r="98" spans="2:13" x14ac:dyDescent="0.2">
      <c r="B98" s="28"/>
      <c r="C98" s="45"/>
      <c r="D98" s="46"/>
      <c r="E98" s="47"/>
      <c r="F98" s="46"/>
      <c r="G98" s="48"/>
      <c r="H98" s="11" t="str">
        <f t="shared" si="3"/>
        <v/>
      </c>
      <c r="I98" s="11" t="str">
        <f t="shared" si="4"/>
        <v/>
      </c>
      <c r="J98" s="12" t="str">
        <f t="shared" si="5"/>
        <v/>
      </c>
      <c r="K98" s="24"/>
      <c r="L98" s="24"/>
      <c r="M98" s="21"/>
    </row>
    <row r="99" spans="2:13" x14ac:dyDescent="0.2">
      <c r="B99" s="28"/>
      <c r="C99" s="45"/>
      <c r="D99" s="46"/>
      <c r="E99" s="47"/>
      <c r="F99" s="46"/>
      <c r="G99" s="48"/>
      <c r="H99" s="11" t="str">
        <f t="shared" si="3"/>
        <v/>
      </c>
      <c r="I99" s="11" t="str">
        <f t="shared" si="4"/>
        <v/>
      </c>
      <c r="J99" s="12" t="str">
        <f t="shared" si="5"/>
        <v/>
      </c>
      <c r="K99" s="24"/>
      <c r="L99" s="24"/>
      <c r="M99" s="21"/>
    </row>
    <row r="100" spans="2:13" x14ac:dyDescent="0.2">
      <c r="B100" s="28"/>
      <c r="C100" s="45"/>
      <c r="D100" s="46"/>
      <c r="E100" s="47"/>
      <c r="F100" s="46"/>
      <c r="G100" s="48"/>
      <c r="H100" s="11" t="str">
        <f t="shared" si="3"/>
        <v/>
      </c>
      <c r="I100" s="11" t="str">
        <f t="shared" si="4"/>
        <v/>
      </c>
      <c r="J100" s="12" t="str">
        <f t="shared" si="5"/>
        <v/>
      </c>
      <c r="K100" s="24"/>
      <c r="L100" s="24"/>
      <c r="M100" s="21"/>
    </row>
    <row r="101" spans="2:13" x14ac:dyDescent="0.2">
      <c r="B101" s="28"/>
      <c r="C101" s="45"/>
      <c r="D101" s="46"/>
      <c r="E101" s="47"/>
      <c r="F101" s="46"/>
      <c r="G101" s="48"/>
      <c r="H101" s="11" t="str">
        <f t="shared" si="3"/>
        <v/>
      </c>
      <c r="I101" s="11" t="str">
        <f t="shared" si="4"/>
        <v/>
      </c>
      <c r="J101" s="12" t="str">
        <f t="shared" si="5"/>
        <v/>
      </c>
      <c r="K101" s="24"/>
      <c r="L101" s="24"/>
      <c r="M101" s="21"/>
    </row>
    <row r="102" spans="2:13" x14ac:dyDescent="0.2">
      <c r="B102" s="28"/>
      <c r="C102" s="45"/>
      <c r="D102" s="46"/>
      <c r="E102" s="47"/>
      <c r="F102" s="46"/>
      <c r="G102" s="48"/>
      <c r="H102" s="11" t="str">
        <f t="shared" si="3"/>
        <v/>
      </c>
      <c r="I102" s="11" t="str">
        <f t="shared" si="4"/>
        <v/>
      </c>
      <c r="J102" s="12" t="str">
        <f t="shared" si="5"/>
        <v/>
      </c>
      <c r="K102" s="24"/>
      <c r="L102" s="24"/>
      <c r="M102" s="21"/>
    </row>
    <row r="103" spans="2:13" x14ac:dyDescent="0.2">
      <c r="B103" s="28"/>
      <c r="C103" s="45"/>
      <c r="D103" s="46"/>
      <c r="E103" s="47"/>
      <c r="F103" s="46"/>
      <c r="G103" s="48"/>
      <c r="H103" s="11" t="str">
        <f t="shared" si="3"/>
        <v/>
      </c>
      <c r="I103" s="11" t="str">
        <f t="shared" si="4"/>
        <v/>
      </c>
      <c r="J103" s="12" t="str">
        <f t="shared" si="5"/>
        <v/>
      </c>
      <c r="K103" s="24"/>
      <c r="L103" s="24"/>
      <c r="M103" s="21"/>
    </row>
    <row r="104" spans="2:13" x14ac:dyDescent="0.2">
      <c r="B104" s="28"/>
      <c r="C104" s="45"/>
      <c r="D104" s="46"/>
      <c r="E104" s="47"/>
      <c r="F104" s="46"/>
      <c r="G104" s="48"/>
      <c r="H104" s="11" t="str">
        <f t="shared" si="3"/>
        <v/>
      </c>
      <c r="I104" s="11" t="str">
        <f t="shared" si="4"/>
        <v/>
      </c>
      <c r="J104" s="12" t="str">
        <f t="shared" si="5"/>
        <v/>
      </c>
      <c r="K104" s="24"/>
      <c r="L104" s="24"/>
      <c r="M104" s="21"/>
    </row>
    <row r="105" spans="2:13" x14ac:dyDescent="0.2">
      <c r="B105" s="28"/>
      <c r="C105" s="45"/>
      <c r="D105" s="46"/>
      <c r="E105" s="47"/>
      <c r="F105" s="46"/>
      <c r="G105" s="48"/>
      <c r="H105" s="11" t="str">
        <f t="shared" si="3"/>
        <v/>
      </c>
      <c r="I105" s="11" t="str">
        <f t="shared" si="4"/>
        <v/>
      </c>
      <c r="J105" s="12" t="str">
        <f t="shared" si="5"/>
        <v/>
      </c>
      <c r="K105" s="24"/>
      <c r="L105" s="24"/>
      <c r="M105" s="21"/>
    </row>
    <row r="106" spans="2:13" x14ac:dyDescent="0.2">
      <c r="B106" s="28"/>
      <c r="C106" s="45"/>
      <c r="D106" s="46"/>
      <c r="E106" s="47"/>
      <c r="F106" s="46"/>
      <c r="G106" s="48"/>
      <c r="H106" s="11" t="str">
        <f t="shared" si="3"/>
        <v/>
      </c>
      <c r="I106" s="11" t="str">
        <f t="shared" si="4"/>
        <v/>
      </c>
      <c r="J106" s="12" t="str">
        <f t="shared" si="5"/>
        <v/>
      </c>
      <c r="K106" s="24"/>
      <c r="L106" s="24"/>
      <c r="M106" s="21"/>
    </row>
    <row r="107" spans="2:13" x14ac:dyDescent="0.2">
      <c r="B107" s="28"/>
      <c r="C107" s="45"/>
      <c r="D107" s="46"/>
      <c r="E107" s="47"/>
      <c r="F107" s="46"/>
      <c r="G107" s="48"/>
      <c r="H107" s="11" t="str">
        <f t="shared" si="3"/>
        <v/>
      </c>
      <c r="I107" s="11" t="str">
        <f t="shared" si="4"/>
        <v/>
      </c>
      <c r="J107" s="12" t="str">
        <f t="shared" si="5"/>
        <v/>
      </c>
      <c r="K107" s="24"/>
      <c r="L107" s="24"/>
      <c r="M107" s="21"/>
    </row>
    <row r="108" spans="2:13" x14ac:dyDescent="0.2">
      <c r="B108" s="28"/>
      <c r="C108" s="45"/>
      <c r="D108" s="46"/>
      <c r="E108" s="47"/>
      <c r="F108" s="46"/>
      <c r="G108" s="48"/>
      <c r="H108" s="11" t="str">
        <f t="shared" si="3"/>
        <v/>
      </c>
      <c r="I108" s="11" t="str">
        <f t="shared" si="4"/>
        <v/>
      </c>
      <c r="J108" s="12" t="str">
        <f t="shared" si="5"/>
        <v/>
      </c>
      <c r="K108" s="24"/>
      <c r="L108" s="24"/>
      <c r="M108" s="21"/>
    </row>
    <row r="109" spans="2:13" x14ac:dyDescent="0.2">
      <c r="B109" s="28"/>
      <c r="C109" s="45"/>
      <c r="D109" s="46"/>
      <c r="E109" s="47"/>
      <c r="F109" s="46"/>
      <c r="G109" s="48"/>
      <c r="H109" s="11" t="str">
        <f t="shared" si="3"/>
        <v/>
      </c>
      <c r="I109" s="11" t="str">
        <f t="shared" si="4"/>
        <v/>
      </c>
      <c r="J109" s="12" t="str">
        <f t="shared" si="5"/>
        <v/>
      </c>
      <c r="K109" s="24"/>
      <c r="L109" s="24"/>
      <c r="M109" s="21"/>
    </row>
    <row r="110" spans="2:13" x14ac:dyDescent="0.2">
      <c r="B110" s="28"/>
      <c r="C110" s="45"/>
      <c r="D110" s="46"/>
      <c r="E110" s="47"/>
      <c r="F110" s="46"/>
      <c r="G110" s="48"/>
      <c r="H110" s="11" t="str">
        <f t="shared" si="3"/>
        <v/>
      </c>
      <c r="I110" s="11" t="str">
        <f t="shared" si="4"/>
        <v/>
      </c>
      <c r="J110" s="12" t="str">
        <f t="shared" si="5"/>
        <v/>
      </c>
      <c r="K110" s="24"/>
      <c r="L110" s="24"/>
      <c r="M110" s="21"/>
    </row>
    <row r="111" spans="2:13" x14ac:dyDescent="0.2">
      <c r="B111" s="28"/>
      <c r="C111" s="45"/>
      <c r="D111" s="46"/>
      <c r="E111" s="47"/>
      <c r="F111" s="46"/>
      <c r="G111" s="48"/>
      <c r="H111" s="11" t="str">
        <f t="shared" si="3"/>
        <v/>
      </c>
      <c r="I111" s="11" t="str">
        <f t="shared" si="4"/>
        <v/>
      </c>
      <c r="J111" s="12" t="str">
        <f t="shared" si="5"/>
        <v/>
      </c>
      <c r="K111" s="24"/>
      <c r="L111" s="24"/>
      <c r="M111" s="21"/>
    </row>
    <row r="112" spans="2:13" x14ac:dyDescent="0.2">
      <c r="B112" s="28"/>
      <c r="C112" s="45"/>
      <c r="D112" s="46"/>
      <c r="E112" s="47"/>
      <c r="F112" s="46"/>
      <c r="G112" s="48"/>
      <c r="H112" s="11" t="str">
        <f t="shared" si="3"/>
        <v/>
      </c>
      <c r="I112" s="11" t="str">
        <f t="shared" si="4"/>
        <v/>
      </c>
      <c r="J112" s="12" t="str">
        <f t="shared" si="5"/>
        <v/>
      </c>
      <c r="K112" s="24"/>
      <c r="L112" s="24"/>
      <c r="M112" s="21"/>
    </row>
    <row r="113" spans="2:13" x14ac:dyDescent="0.2">
      <c r="B113" s="28"/>
      <c r="C113" s="45"/>
      <c r="D113" s="46"/>
      <c r="E113" s="47"/>
      <c r="F113" s="46"/>
      <c r="G113" s="48"/>
      <c r="H113" s="11" t="str">
        <f t="shared" si="3"/>
        <v/>
      </c>
      <c r="I113" s="11" t="str">
        <f t="shared" si="4"/>
        <v/>
      </c>
      <c r="J113" s="12" t="str">
        <f t="shared" si="5"/>
        <v/>
      </c>
      <c r="K113" s="24"/>
      <c r="L113" s="24"/>
      <c r="M113" s="21"/>
    </row>
    <row r="114" spans="2:13" x14ac:dyDescent="0.2">
      <c r="B114" s="28"/>
      <c r="C114" s="45"/>
      <c r="D114" s="46"/>
      <c r="E114" s="47"/>
      <c r="F114" s="46"/>
      <c r="G114" s="48"/>
      <c r="H114" s="11" t="str">
        <f t="shared" si="3"/>
        <v/>
      </c>
      <c r="I114" s="11" t="str">
        <f t="shared" si="4"/>
        <v/>
      </c>
      <c r="J114" s="12" t="str">
        <f t="shared" si="5"/>
        <v/>
      </c>
      <c r="K114" s="24"/>
      <c r="L114" s="24"/>
      <c r="M114" s="21"/>
    </row>
    <row r="115" spans="2:13" x14ac:dyDescent="0.2">
      <c r="B115" s="28"/>
      <c r="C115" s="45"/>
      <c r="D115" s="46"/>
      <c r="E115" s="47"/>
      <c r="F115" s="46"/>
      <c r="G115" s="48"/>
      <c r="H115" s="11" t="str">
        <f t="shared" si="3"/>
        <v/>
      </c>
      <c r="I115" s="11" t="str">
        <f t="shared" si="4"/>
        <v/>
      </c>
      <c r="J115" s="12" t="str">
        <f t="shared" si="5"/>
        <v/>
      </c>
      <c r="K115" s="24"/>
      <c r="L115" s="24"/>
      <c r="M115" s="21"/>
    </row>
    <row r="116" spans="2:13" x14ac:dyDescent="0.2">
      <c r="B116" s="28"/>
      <c r="C116" s="45"/>
      <c r="D116" s="46"/>
      <c r="E116" s="47"/>
      <c r="F116" s="46"/>
      <c r="G116" s="48"/>
      <c r="H116" s="11" t="str">
        <f t="shared" si="3"/>
        <v/>
      </c>
      <c r="I116" s="11" t="str">
        <f t="shared" si="4"/>
        <v/>
      </c>
      <c r="J116" s="12" t="str">
        <f t="shared" si="5"/>
        <v/>
      </c>
      <c r="K116" s="24"/>
      <c r="L116" s="24"/>
      <c r="M116" s="21"/>
    </row>
    <row r="117" spans="2:13" x14ac:dyDescent="0.2">
      <c r="B117" s="28"/>
      <c r="C117" s="45"/>
      <c r="D117" s="46"/>
      <c r="E117" s="47"/>
      <c r="F117" s="46"/>
      <c r="G117" s="48"/>
      <c r="H117" s="11" t="str">
        <f t="shared" si="3"/>
        <v/>
      </c>
      <c r="I117" s="11" t="str">
        <f t="shared" si="4"/>
        <v/>
      </c>
      <c r="J117" s="12" t="str">
        <f t="shared" si="5"/>
        <v/>
      </c>
      <c r="K117" s="24"/>
      <c r="L117" s="24"/>
      <c r="M117" s="21"/>
    </row>
    <row r="118" spans="2:13" x14ac:dyDescent="0.2">
      <c r="B118" s="28"/>
      <c r="C118" s="45"/>
      <c r="D118" s="46"/>
      <c r="E118" s="47"/>
      <c r="F118" s="46"/>
      <c r="G118" s="48"/>
      <c r="H118" s="11" t="str">
        <f t="shared" si="3"/>
        <v/>
      </c>
      <c r="I118" s="11" t="str">
        <f t="shared" si="4"/>
        <v/>
      </c>
      <c r="J118" s="12" t="str">
        <f t="shared" si="5"/>
        <v/>
      </c>
      <c r="K118" s="24"/>
      <c r="L118" s="24"/>
      <c r="M118" s="21"/>
    </row>
    <row r="119" spans="2:13" x14ac:dyDescent="0.2">
      <c r="B119" s="28"/>
      <c r="C119" s="45"/>
      <c r="D119" s="46"/>
      <c r="E119" s="47"/>
      <c r="F119" s="46"/>
      <c r="G119" s="48"/>
      <c r="H119" s="11" t="str">
        <f t="shared" si="3"/>
        <v/>
      </c>
      <c r="I119" s="11" t="str">
        <f t="shared" si="4"/>
        <v/>
      </c>
      <c r="J119" s="12" t="str">
        <f t="shared" si="5"/>
        <v/>
      </c>
      <c r="K119" s="24"/>
      <c r="L119" s="24"/>
      <c r="M119" s="21"/>
    </row>
    <row r="120" spans="2:13" x14ac:dyDescent="0.2">
      <c r="B120" s="28"/>
      <c r="C120" s="45"/>
      <c r="D120" s="46"/>
      <c r="E120" s="47"/>
      <c r="F120" s="46"/>
      <c r="G120" s="48"/>
      <c r="H120" s="11" t="str">
        <f t="shared" si="3"/>
        <v/>
      </c>
      <c r="I120" s="11" t="str">
        <f t="shared" si="4"/>
        <v/>
      </c>
      <c r="J120" s="12" t="str">
        <f t="shared" si="5"/>
        <v/>
      </c>
      <c r="K120" s="24"/>
      <c r="L120" s="24"/>
      <c r="M120" s="21"/>
    </row>
    <row r="121" spans="2:13" x14ac:dyDescent="0.2">
      <c r="B121" s="28"/>
      <c r="C121" s="45"/>
      <c r="D121" s="46"/>
      <c r="E121" s="47"/>
      <c r="F121" s="46"/>
      <c r="G121" s="48"/>
      <c r="H121" s="11" t="str">
        <f t="shared" si="3"/>
        <v/>
      </c>
      <c r="I121" s="11" t="str">
        <f t="shared" si="4"/>
        <v/>
      </c>
      <c r="J121" s="12" t="str">
        <f t="shared" si="5"/>
        <v/>
      </c>
      <c r="K121" s="24"/>
      <c r="L121" s="24"/>
      <c r="M121" s="21"/>
    </row>
    <row r="122" spans="2:13" x14ac:dyDescent="0.2">
      <c r="B122" s="28"/>
      <c r="C122" s="45"/>
      <c r="D122" s="46"/>
      <c r="E122" s="47"/>
      <c r="F122" s="46"/>
      <c r="G122" s="48"/>
      <c r="H122" s="11" t="str">
        <f t="shared" si="3"/>
        <v/>
      </c>
      <c r="I122" s="11" t="str">
        <f t="shared" si="4"/>
        <v/>
      </c>
      <c r="J122" s="12" t="str">
        <f t="shared" si="5"/>
        <v/>
      </c>
      <c r="K122" s="24"/>
      <c r="L122" s="24"/>
      <c r="M122" s="21"/>
    </row>
    <row r="123" spans="2:13" x14ac:dyDescent="0.2">
      <c r="B123" s="28"/>
      <c r="C123" s="45"/>
      <c r="D123" s="46"/>
      <c r="E123" s="47"/>
      <c r="F123" s="46"/>
      <c r="G123" s="48"/>
      <c r="H123" s="11" t="str">
        <f t="shared" si="3"/>
        <v/>
      </c>
      <c r="I123" s="11" t="str">
        <f t="shared" si="4"/>
        <v/>
      </c>
      <c r="J123" s="12" t="str">
        <f t="shared" si="5"/>
        <v/>
      </c>
      <c r="K123" s="24"/>
      <c r="L123" s="24"/>
      <c r="M123" s="21"/>
    </row>
    <row r="124" spans="2:13" x14ac:dyDescent="0.2">
      <c r="B124" s="28"/>
      <c r="C124" s="45"/>
      <c r="D124" s="46"/>
      <c r="E124" s="47"/>
      <c r="F124" s="46"/>
      <c r="G124" s="48"/>
      <c r="H124" s="11" t="str">
        <f t="shared" si="3"/>
        <v/>
      </c>
      <c r="I124" s="11" t="str">
        <f t="shared" si="4"/>
        <v/>
      </c>
      <c r="J124" s="12" t="str">
        <f t="shared" si="5"/>
        <v/>
      </c>
      <c r="K124" s="24"/>
      <c r="L124" s="24"/>
      <c r="M124" s="21"/>
    </row>
    <row r="125" spans="2:13" x14ac:dyDescent="0.2">
      <c r="B125" s="28"/>
      <c r="C125" s="45"/>
      <c r="D125" s="46"/>
      <c r="E125" s="47"/>
      <c r="F125" s="46"/>
      <c r="G125" s="48"/>
      <c r="H125" s="11" t="str">
        <f t="shared" si="3"/>
        <v/>
      </c>
      <c r="I125" s="11" t="str">
        <f t="shared" si="4"/>
        <v/>
      </c>
      <c r="J125" s="12" t="str">
        <f t="shared" si="5"/>
        <v/>
      </c>
      <c r="K125" s="24"/>
      <c r="L125" s="24"/>
      <c r="M125" s="21"/>
    </row>
    <row r="126" spans="2:13" x14ac:dyDescent="0.2">
      <c r="B126" s="28"/>
      <c r="C126" s="45"/>
      <c r="D126" s="46"/>
      <c r="E126" s="47"/>
      <c r="F126" s="46"/>
      <c r="G126" s="48"/>
      <c r="H126" s="11" t="str">
        <f t="shared" si="3"/>
        <v/>
      </c>
      <c r="I126" s="11" t="str">
        <f t="shared" si="4"/>
        <v/>
      </c>
      <c r="J126" s="12" t="str">
        <f t="shared" si="5"/>
        <v/>
      </c>
      <c r="K126" s="24"/>
      <c r="L126" s="24"/>
      <c r="M126" s="21"/>
    </row>
    <row r="127" spans="2:13" x14ac:dyDescent="0.2">
      <c r="B127" s="28"/>
      <c r="C127" s="45"/>
      <c r="D127" s="46"/>
      <c r="E127" s="47"/>
      <c r="F127" s="46"/>
      <c r="G127" s="48"/>
      <c r="H127" s="11" t="str">
        <f t="shared" si="3"/>
        <v/>
      </c>
      <c r="I127" s="11" t="str">
        <f t="shared" si="4"/>
        <v/>
      </c>
      <c r="J127" s="12" t="str">
        <f t="shared" si="5"/>
        <v/>
      </c>
      <c r="K127" s="24"/>
      <c r="L127" s="24"/>
      <c r="M127" s="21"/>
    </row>
    <row r="128" spans="2:13" x14ac:dyDescent="0.2">
      <c r="B128" s="28"/>
      <c r="C128" s="45"/>
      <c r="D128" s="46"/>
      <c r="E128" s="47"/>
      <c r="F128" s="46"/>
      <c r="G128" s="48"/>
      <c r="H128" s="11" t="str">
        <f t="shared" si="3"/>
        <v/>
      </c>
      <c r="I128" s="11" t="str">
        <f t="shared" si="4"/>
        <v/>
      </c>
      <c r="J128" s="12" t="str">
        <f t="shared" si="5"/>
        <v/>
      </c>
      <c r="K128" s="24"/>
      <c r="L128" s="24"/>
      <c r="M128" s="21"/>
    </row>
    <row r="129" spans="2:13" x14ac:dyDescent="0.2">
      <c r="B129" s="28"/>
      <c r="C129" s="45"/>
      <c r="D129" s="46"/>
      <c r="E129" s="47"/>
      <c r="F129" s="46"/>
      <c r="G129" s="48"/>
      <c r="H129" s="11" t="str">
        <f t="shared" si="3"/>
        <v/>
      </c>
      <c r="I129" s="11" t="str">
        <f t="shared" si="4"/>
        <v/>
      </c>
      <c r="J129" s="12" t="str">
        <f t="shared" si="5"/>
        <v/>
      </c>
      <c r="K129" s="24"/>
      <c r="L129" s="24"/>
      <c r="M129" s="21"/>
    </row>
    <row r="130" spans="2:13" x14ac:dyDescent="0.2">
      <c r="B130" s="28"/>
      <c r="C130" s="45"/>
      <c r="D130" s="46"/>
      <c r="E130" s="47"/>
      <c r="F130" s="46"/>
      <c r="G130" s="48"/>
      <c r="H130" s="11" t="str">
        <f t="shared" si="3"/>
        <v/>
      </c>
      <c r="I130" s="11" t="str">
        <f t="shared" si="4"/>
        <v/>
      </c>
      <c r="J130" s="12" t="str">
        <f t="shared" si="5"/>
        <v/>
      </c>
      <c r="K130" s="24"/>
      <c r="L130" s="24"/>
      <c r="M130" s="21"/>
    </row>
    <row r="131" spans="2:13" x14ac:dyDescent="0.2">
      <c r="B131" s="28"/>
      <c r="C131" s="45"/>
      <c r="D131" s="46"/>
      <c r="E131" s="47"/>
      <c r="F131" s="46"/>
      <c r="G131" s="48"/>
      <c r="H131" s="11" t="str">
        <f t="shared" si="3"/>
        <v/>
      </c>
      <c r="I131" s="11" t="str">
        <f t="shared" si="4"/>
        <v/>
      </c>
      <c r="J131" s="12" t="str">
        <f t="shared" si="5"/>
        <v/>
      </c>
      <c r="K131" s="24"/>
      <c r="L131" s="24"/>
      <c r="M131" s="21"/>
    </row>
    <row r="132" spans="2:13" x14ac:dyDescent="0.2">
      <c r="B132" s="28"/>
      <c r="C132" s="45"/>
      <c r="D132" s="46"/>
      <c r="E132" s="47"/>
      <c r="F132" s="46"/>
      <c r="G132" s="48"/>
      <c r="H132" s="11" t="str">
        <f t="shared" si="3"/>
        <v/>
      </c>
      <c r="I132" s="11" t="str">
        <f t="shared" si="4"/>
        <v/>
      </c>
      <c r="J132" s="12" t="str">
        <f t="shared" si="5"/>
        <v/>
      </c>
      <c r="K132" s="24"/>
      <c r="L132" s="24"/>
      <c r="M132" s="21"/>
    </row>
    <row r="133" spans="2:13" x14ac:dyDescent="0.2">
      <c r="B133" s="28"/>
      <c r="C133" s="45"/>
      <c r="D133" s="46"/>
      <c r="E133" s="47"/>
      <c r="F133" s="46"/>
      <c r="G133" s="48"/>
      <c r="H133" s="11" t="str">
        <f t="shared" si="3"/>
        <v/>
      </c>
      <c r="I133" s="11" t="str">
        <f t="shared" si="4"/>
        <v/>
      </c>
      <c r="J133" s="12" t="str">
        <f t="shared" si="5"/>
        <v/>
      </c>
      <c r="K133" s="24"/>
      <c r="L133" s="24"/>
      <c r="M133" s="21"/>
    </row>
    <row r="134" spans="2:13" x14ac:dyDescent="0.2">
      <c r="B134" s="28"/>
      <c r="C134" s="45"/>
      <c r="D134" s="46"/>
      <c r="E134" s="47"/>
      <c r="F134" s="46"/>
      <c r="G134" s="48"/>
      <c r="H134" s="11" t="str">
        <f t="shared" si="3"/>
        <v/>
      </c>
      <c r="I134" s="11" t="str">
        <f t="shared" si="4"/>
        <v/>
      </c>
      <c r="J134" s="12" t="str">
        <f t="shared" si="5"/>
        <v/>
      </c>
      <c r="K134" s="24"/>
      <c r="L134" s="24"/>
      <c r="M134" s="21"/>
    </row>
    <row r="135" spans="2:13" x14ac:dyDescent="0.2">
      <c r="B135" s="28"/>
      <c r="C135" s="45"/>
      <c r="D135" s="46"/>
      <c r="E135" s="47"/>
      <c r="F135" s="46"/>
      <c r="G135" s="48"/>
      <c r="H135" s="11" t="str">
        <f t="shared" si="3"/>
        <v/>
      </c>
      <c r="I135" s="11" t="str">
        <f t="shared" si="4"/>
        <v/>
      </c>
      <c r="J135" s="12" t="str">
        <f t="shared" si="5"/>
        <v/>
      </c>
      <c r="K135" s="24"/>
      <c r="L135" s="24"/>
      <c r="M135" s="21"/>
    </row>
    <row r="136" spans="2:13" x14ac:dyDescent="0.2">
      <c r="B136" s="28"/>
      <c r="C136" s="45"/>
      <c r="D136" s="46"/>
      <c r="E136" s="47"/>
      <c r="F136" s="46"/>
      <c r="G136" s="48"/>
      <c r="H136" s="11" t="str">
        <f t="shared" si="3"/>
        <v/>
      </c>
      <c r="I136" s="11" t="str">
        <f t="shared" si="4"/>
        <v/>
      </c>
      <c r="J136" s="12" t="str">
        <f t="shared" si="5"/>
        <v/>
      </c>
      <c r="K136" s="24"/>
      <c r="L136" s="24"/>
      <c r="M136" s="21"/>
    </row>
    <row r="137" spans="2:13" x14ac:dyDescent="0.2">
      <c r="B137" s="28"/>
      <c r="C137" s="45"/>
      <c r="D137" s="46"/>
      <c r="E137" s="47"/>
      <c r="F137" s="46"/>
      <c r="G137" s="48"/>
      <c r="H137" s="11" t="str">
        <f t="shared" si="3"/>
        <v/>
      </c>
      <c r="I137" s="11" t="str">
        <f t="shared" si="4"/>
        <v/>
      </c>
      <c r="J137" s="12" t="str">
        <f t="shared" si="5"/>
        <v/>
      </c>
      <c r="K137" s="24"/>
      <c r="L137" s="24"/>
      <c r="M137" s="21"/>
    </row>
    <row r="138" spans="2:13" x14ac:dyDescent="0.2">
      <c r="B138" s="28"/>
      <c r="C138" s="45"/>
      <c r="D138" s="46"/>
      <c r="E138" s="47"/>
      <c r="F138" s="46"/>
      <c r="G138" s="48"/>
      <c r="H138" s="11" t="str">
        <f t="shared" si="3"/>
        <v/>
      </c>
      <c r="I138" s="11" t="str">
        <f t="shared" si="4"/>
        <v/>
      </c>
      <c r="J138" s="12" t="str">
        <f t="shared" si="5"/>
        <v/>
      </c>
      <c r="K138" s="24"/>
      <c r="L138" s="24"/>
      <c r="M138" s="21"/>
    </row>
    <row r="139" spans="2:13" x14ac:dyDescent="0.2">
      <c r="B139" s="28"/>
      <c r="C139" s="45"/>
      <c r="D139" s="46"/>
      <c r="E139" s="47"/>
      <c r="F139" s="46"/>
      <c r="G139" s="48"/>
      <c r="H139" s="11" t="str">
        <f t="shared" si="3"/>
        <v/>
      </c>
      <c r="I139" s="11" t="str">
        <f t="shared" si="4"/>
        <v/>
      </c>
      <c r="J139" s="12" t="str">
        <f t="shared" si="5"/>
        <v/>
      </c>
      <c r="K139" s="24"/>
      <c r="L139" s="24"/>
      <c r="M139" s="21"/>
    </row>
    <row r="140" spans="2:13" x14ac:dyDescent="0.2">
      <c r="B140" s="28"/>
      <c r="C140" s="45"/>
      <c r="D140" s="46"/>
      <c r="E140" s="47"/>
      <c r="F140" s="46"/>
      <c r="G140" s="48"/>
      <c r="H140" s="11" t="str">
        <f t="shared" si="3"/>
        <v/>
      </c>
      <c r="I140" s="11" t="str">
        <f t="shared" si="4"/>
        <v/>
      </c>
      <c r="J140" s="12" t="str">
        <f t="shared" si="5"/>
        <v/>
      </c>
      <c r="K140" s="24"/>
      <c r="L140" s="24"/>
      <c r="M140" s="21"/>
    </row>
    <row r="141" spans="2:13" x14ac:dyDescent="0.2">
      <c r="B141" s="28"/>
      <c r="C141" s="45"/>
      <c r="D141" s="46"/>
      <c r="E141" s="47"/>
      <c r="F141" s="46"/>
      <c r="G141" s="48"/>
      <c r="H141" s="11" t="str">
        <f t="shared" si="3"/>
        <v/>
      </c>
      <c r="I141" s="11" t="str">
        <f t="shared" si="4"/>
        <v/>
      </c>
      <c r="J141" s="12" t="str">
        <f t="shared" si="5"/>
        <v/>
      </c>
      <c r="K141" s="24"/>
      <c r="L141" s="24"/>
      <c r="M141" s="21"/>
    </row>
    <row r="142" spans="2:13" x14ac:dyDescent="0.2">
      <c r="B142" s="28"/>
      <c r="C142" s="45"/>
      <c r="D142" s="46"/>
      <c r="E142" s="47"/>
      <c r="F142" s="46"/>
      <c r="G142" s="48"/>
      <c r="H142" s="11" t="str">
        <f t="shared" si="3"/>
        <v/>
      </c>
      <c r="I142" s="11" t="str">
        <f t="shared" si="4"/>
        <v/>
      </c>
      <c r="J142" s="12" t="str">
        <f t="shared" si="5"/>
        <v/>
      </c>
      <c r="K142" s="24"/>
      <c r="L142" s="24"/>
      <c r="M142" s="21"/>
    </row>
    <row r="143" spans="2:13" x14ac:dyDescent="0.2">
      <c r="B143" s="28"/>
      <c r="C143" s="45"/>
      <c r="D143" s="46"/>
      <c r="E143" s="47"/>
      <c r="F143" s="46"/>
      <c r="G143" s="48"/>
      <c r="H143" s="11" t="str">
        <f t="shared" si="3"/>
        <v/>
      </c>
      <c r="I143" s="11" t="str">
        <f t="shared" si="4"/>
        <v/>
      </c>
      <c r="J143" s="12" t="str">
        <f t="shared" si="5"/>
        <v/>
      </c>
      <c r="K143" s="24"/>
      <c r="L143" s="24"/>
      <c r="M143" s="21"/>
    </row>
    <row r="144" spans="2:13" x14ac:dyDescent="0.2">
      <c r="B144" s="28"/>
      <c r="C144" s="45"/>
      <c r="D144" s="46"/>
      <c r="E144" s="47"/>
      <c r="F144" s="46"/>
      <c r="G144" s="48"/>
      <c r="H144" s="11" t="str">
        <f t="shared" si="3"/>
        <v/>
      </c>
      <c r="I144" s="11" t="str">
        <f t="shared" si="4"/>
        <v/>
      </c>
      <c r="J144" s="12" t="str">
        <f t="shared" si="5"/>
        <v/>
      </c>
      <c r="K144" s="24"/>
      <c r="L144" s="24"/>
      <c r="M144" s="21"/>
    </row>
    <row r="145" spans="2:13" x14ac:dyDescent="0.2">
      <c r="B145" s="28"/>
      <c r="C145" s="45"/>
      <c r="D145" s="46"/>
      <c r="E145" s="47"/>
      <c r="F145" s="46"/>
      <c r="G145" s="48"/>
      <c r="H145" s="11" t="str">
        <f t="shared" si="3"/>
        <v/>
      </c>
      <c r="I145" s="11" t="str">
        <f t="shared" si="4"/>
        <v/>
      </c>
      <c r="J145" s="12" t="str">
        <f t="shared" si="5"/>
        <v/>
      </c>
      <c r="K145" s="24"/>
      <c r="L145" s="24"/>
      <c r="M145" s="21"/>
    </row>
    <row r="146" spans="2:13" x14ac:dyDescent="0.2">
      <c r="B146" s="28"/>
      <c r="C146" s="45"/>
      <c r="D146" s="46"/>
      <c r="E146" s="47"/>
      <c r="F146" s="46"/>
      <c r="G146" s="48"/>
      <c r="H146" s="11" t="str">
        <f t="shared" si="3"/>
        <v/>
      </c>
      <c r="I146" s="11" t="str">
        <f t="shared" si="4"/>
        <v/>
      </c>
      <c r="J146" s="12" t="str">
        <f t="shared" si="5"/>
        <v/>
      </c>
      <c r="K146" s="24"/>
      <c r="L146" s="24"/>
      <c r="M146" s="21"/>
    </row>
    <row r="147" spans="2:13" x14ac:dyDescent="0.2">
      <c r="B147" s="28"/>
      <c r="C147" s="45"/>
      <c r="D147" s="46"/>
      <c r="E147" s="47"/>
      <c r="F147" s="46"/>
      <c r="G147" s="48"/>
      <c r="H147" s="11" t="str">
        <f t="shared" si="3"/>
        <v/>
      </c>
      <c r="I147" s="11" t="str">
        <f t="shared" si="4"/>
        <v/>
      </c>
      <c r="J147" s="12" t="str">
        <f t="shared" si="5"/>
        <v/>
      </c>
      <c r="K147" s="24"/>
      <c r="L147" s="24"/>
      <c r="M147" s="21"/>
    </row>
    <row r="148" spans="2:13" x14ac:dyDescent="0.2">
      <c r="B148" s="28"/>
      <c r="C148" s="45"/>
      <c r="D148" s="46"/>
      <c r="E148" s="47"/>
      <c r="F148" s="46"/>
      <c r="G148" s="48"/>
      <c r="H148" s="11" t="str">
        <f t="shared" si="3"/>
        <v/>
      </c>
      <c r="I148" s="11" t="str">
        <f t="shared" si="4"/>
        <v/>
      </c>
      <c r="J148" s="12" t="str">
        <f t="shared" si="5"/>
        <v/>
      </c>
      <c r="K148" s="24"/>
      <c r="L148" s="24"/>
      <c r="M148" s="21"/>
    </row>
    <row r="149" spans="2:13" x14ac:dyDescent="0.2">
      <c r="B149" s="28"/>
      <c r="C149" s="45"/>
      <c r="D149" s="46"/>
      <c r="E149" s="47"/>
      <c r="F149" s="46"/>
      <c r="G149" s="48"/>
      <c r="H149" s="11" t="str">
        <f t="shared" si="3"/>
        <v/>
      </c>
      <c r="I149" s="11" t="str">
        <f t="shared" si="4"/>
        <v/>
      </c>
      <c r="J149" s="12" t="str">
        <f t="shared" si="5"/>
        <v/>
      </c>
      <c r="K149" s="24"/>
      <c r="L149" s="24"/>
      <c r="M149" s="21"/>
    </row>
    <row r="150" spans="2:13" x14ac:dyDescent="0.2">
      <c r="B150" s="28"/>
      <c r="C150" s="45"/>
      <c r="D150" s="46"/>
      <c r="E150" s="47"/>
      <c r="F150" s="46"/>
      <c r="G150" s="48"/>
      <c r="H150" s="11" t="str">
        <f t="shared" si="3"/>
        <v/>
      </c>
      <c r="I150" s="11" t="str">
        <f t="shared" si="4"/>
        <v/>
      </c>
      <c r="J150" s="12" t="str">
        <f t="shared" si="5"/>
        <v/>
      </c>
      <c r="K150" s="24"/>
      <c r="L150" s="24"/>
      <c r="M150" s="21"/>
    </row>
    <row r="151" spans="2:13" x14ac:dyDescent="0.2">
      <c r="B151" s="28"/>
      <c r="C151" s="45"/>
      <c r="D151" s="46"/>
      <c r="E151" s="47"/>
      <c r="F151" s="46"/>
      <c r="G151" s="48"/>
      <c r="H151" s="11" t="str">
        <f t="shared" si="3"/>
        <v/>
      </c>
      <c r="I151" s="11" t="str">
        <f t="shared" si="4"/>
        <v/>
      </c>
      <c r="J151" s="12" t="str">
        <f t="shared" si="5"/>
        <v/>
      </c>
      <c r="K151" s="24"/>
      <c r="L151" s="24"/>
      <c r="M151" s="21"/>
    </row>
    <row r="152" spans="2:13" x14ac:dyDescent="0.2">
      <c r="B152" s="28"/>
      <c r="C152" s="45"/>
      <c r="D152" s="46"/>
      <c r="E152" s="47"/>
      <c r="F152" s="46"/>
      <c r="G152" s="48"/>
      <c r="H152" s="11" t="str">
        <f t="shared" si="3"/>
        <v/>
      </c>
      <c r="I152" s="11" t="str">
        <f t="shared" si="4"/>
        <v/>
      </c>
      <c r="J152" s="12" t="str">
        <f t="shared" si="5"/>
        <v/>
      </c>
      <c r="K152" s="24"/>
      <c r="L152" s="24"/>
      <c r="M152" s="21"/>
    </row>
    <row r="153" spans="2:13" x14ac:dyDescent="0.2">
      <c r="B153" s="28"/>
      <c r="C153" s="45"/>
      <c r="D153" s="46"/>
      <c r="E153" s="47"/>
      <c r="F153" s="46"/>
      <c r="G153" s="48"/>
      <c r="H153" s="11" t="str">
        <f t="shared" si="3"/>
        <v/>
      </c>
      <c r="I153" s="11" t="str">
        <f t="shared" si="4"/>
        <v/>
      </c>
      <c r="J153" s="12" t="str">
        <f t="shared" si="5"/>
        <v/>
      </c>
      <c r="K153" s="24"/>
      <c r="L153" s="24"/>
      <c r="M153" s="21"/>
    </row>
    <row r="154" spans="2:13" x14ac:dyDescent="0.2">
      <c r="B154" s="28"/>
      <c r="C154" s="45"/>
      <c r="D154" s="46"/>
      <c r="E154" s="47"/>
      <c r="F154" s="46"/>
      <c r="G154" s="48"/>
      <c r="H154" s="11" t="str">
        <f t="shared" si="3"/>
        <v/>
      </c>
      <c r="I154" s="11" t="str">
        <f t="shared" si="4"/>
        <v/>
      </c>
      <c r="J154" s="12" t="str">
        <f t="shared" si="5"/>
        <v/>
      </c>
      <c r="K154" s="24"/>
      <c r="L154" s="24"/>
      <c r="M154" s="21"/>
    </row>
    <row r="155" spans="2:13" x14ac:dyDescent="0.2">
      <c r="B155" s="28"/>
      <c r="C155" s="45"/>
      <c r="D155" s="46"/>
      <c r="E155" s="47"/>
      <c r="F155" s="46"/>
      <c r="G155" s="48"/>
      <c r="H155" s="11" t="str">
        <f t="shared" si="3"/>
        <v/>
      </c>
      <c r="I155" s="11" t="str">
        <f t="shared" si="4"/>
        <v/>
      </c>
      <c r="J155" s="12" t="str">
        <f t="shared" si="5"/>
        <v/>
      </c>
      <c r="K155" s="24"/>
      <c r="L155" s="24"/>
      <c r="M155" s="21"/>
    </row>
    <row r="156" spans="2:13" x14ac:dyDescent="0.2">
      <c r="B156" s="28"/>
      <c r="C156" s="45"/>
      <c r="D156" s="46"/>
      <c r="E156" s="47"/>
      <c r="F156" s="46"/>
      <c r="G156" s="48"/>
      <c r="H156" s="11" t="str">
        <f t="shared" si="3"/>
        <v/>
      </c>
      <c r="I156" s="11" t="str">
        <f t="shared" si="4"/>
        <v/>
      </c>
      <c r="J156" s="12" t="str">
        <f t="shared" si="5"/>
        <v/>
      </c>
      <c r="K156" s="24"/>
      <c r="L156" s="24"/>
      <c r="M156" s="21"/>
    </row>
    <row r="157" spans="2:13" x14ac:dyDescent="0.2">
      <c r="B157" s="28"/>
      <c r="C157" s="45"/>
      <c r="D157" s="46"/>
      <c r="E157" s="47"/>
      <c r="F157" s="46"/>
      <c r="G157" s="48"/>
      <c r="H157" s="11" t="str">
        <f t="shared" si="3"/>
        <v/>
      </c>
      <c r="I157" s="11" t="str">
        <f t="shared" si="4"/>
        <v/>
      </c>
      <c r="J157" s="12" t="str">
        <f t="shared" si="5"/>
        <v/>
      </c>
      <c r="K157" s="24"/>
      <c r="L157" s="24"/>
      <c r="M157" s="21"/>
    </row>
    <row r="158" spans="2:13" x14ac:dyDescent="0.2">
      <c r="B158" s="28"/>
      <c r="C158" s="45"/>
      <c r="D158" s="46"/>
      <c r="E158" s="47"/>
      <c r="F158" s="46"/>
      <c r="G158" s="48"/>
      <c r="H158" s="11" t="str">
        <f t="shared" ref="H158:H221" si="6">IF(D158&gt;0,IF(F158="NORMAL",(ROUNDUP(D158/7,0))+2,0),"")</f>
        <v/>
      </c>
      <c r="I158" s="11" t="str">
        <f t="shared" ref="I158:I221" si="7">IF(D158&gt;0,IF(F158="IMMEDIATE",(ROUNDUP(D158/7,0))+2,0),"")</f>
        <v/>
      </c>
      <c r="J158" s="12" t="str">
        <f t="shared" ref="J158:J221" si="8">IF(D158&gt;0,(H158+I158)*E158,"")</f>
        <v/>
      </c>
      <c r="K158" s="24"/>
      <c r="L158" s="24"/>
      <c r="M158" s="21"/>
    </row>
    <row r="159" spans="2:13" x14ac:dyDescent="0.2">
      <c r="B159" s="28"/>
      <c r="C159" s="45"/>
      <c r="D159" s="46"/>
      <c r="E159" s="47"/>
      <c r="F159" s="46"/>
      <c r="G159" s="48"/>
      <c r="H159" s="11" t="str">
        <f t="shared" si="6"/>
        <v/>
      </c>
      <c r="I159" s="11" t="str">
        <f t="shared" si="7"/>
        <v/>
      </c>
      <c r="J159" s="12" t="str">
        <f t="shared" si="8"/>
        <v/>
      </c>
      <c r="K159" s="24"/>
      <c r="L159" s="24"/>
      <c r="M159" s="21"/>
    </row>
    <row r="160" spans="2:13" x14ac:dyDescent="0.2">
      <c r="B160" s="28"/>
      <c r="C160" s="45"/>
      <c r="D160" s="46"/>
      <c r="E160" s="47"/>
      <c r="F160" s="46"/>
      <c r="G160" s="48"/>
      <c r="H160" s="11" t="str">
        <f t="shared" si="6"/>
        <v/>
      </c>
      <c r="I160" s="11" t="str">
        <f t="shared" si="7"/>
        <v/>
      </c>
      <c r="J160" s="12" t="str">
        <f t="shared" si="8"/>
        <v/>
      </c>
      <c r="K160" s="24"/>
      <c r="L160" s="24"/>
      <c r="M160" s="21"/>
    </row>
    <row r="161" spans="2:13" x14ac:dyDescent="0.2">
      <c r="B161" s="28"/>
      <c r="C161" s="45"/>
      <c r="D161" s="46"/>
      <c r="E161" s="47"/>
      <c r="F161" s="46"/>
      <c r="G161" s="48"/>
      <c r="H161" s="11" t="str">
        <f t="shared" si="6"/>
        <v/>
      </c>
      <c r="I161" s="11" t="str">
        <f t="shared" si="7"/>
        <v/>
      </c>
      <c r="J161" s="12" t="str">
        <f t="shared" si="8"/>
        <v/>
      </c>
      <c r="K161" s="24"/>
      <c r="L161" s="24"/>
      <c r="M161" s="21"/>
    </row>
    <row r="162" spans="2:13" x14ac:dyDescent="0.2">
      <c r="B162" s="28"/>
      <c r="C162" s="45"/>
      <c r="D162" s="46"/>
      <c r="E162" s="47"/>
      <c r="F162" s="46"/>
      <c r="G162" s="48"/>
      <c r="H162" s="11" t="str">
        <f t="shared" si="6"/>
        <v/>
      </c>
      <c r="I162" s="11" t="str">
        <f t="shared" si="7"/>
        <v/>
      </c>
      <c r="J162" s="12" t="str">
        <f t="shared" si="8"/>
        <v/>
      </c>
      <c r="K162" s="24"/>
      <c r="L162" s="24"/>
      <c r="M162" s="21"/>
    </row>
    <row r="163" spans="2:13" x14ac:dyDescent="0.2">
      <c r="B163" s="28"/>
      <c r="C163" s="45"/>
      <c r="D163" s="46"/>
      <c r="E163" s="47"/>
      <c r="F163" s="46"/>
      <c r="G163" s="48"/>
      <c r="H163" s="11" t="str">
        <f t="shared" si="6"/>
        <v/>
      </c>
      <c r="I163" s="11" t="str">
        <f t="shared" si="7"/>
        <v/>
      </c>
      <c r="J163" s="12" t="str">
        <f t="shared" si="8"/>
        <v/>
      </c>
      <c r="K163" s="24"/>
      <c r="L163" s="24"/>
      <c r="M163" s="21"/>
    </row>
    <row r="164" spans="2:13" x14ac:dyDescent="0.2">
      <c r="B164" s="28"/>
      <c r="C164" s="45"/>
      <c r="D164" s="46"/>
      <c r="E164" s="47"/>
      <c r="F164" s="46"/>
      <c r="G164" s="48"/>
      <c r="H164" s="11" t="str">
        <f t="shared" si="6"/>
        <v/>
      </c>
      <c r="I164" s="11" t="str">
        <f t="shared" si="7"/>
        <v/>
      </c>
      <c r="J164" s="12" t="str">
        <f t="shared" si="8"/>
        <v/>
      </c>
      <c r="K164" s="24"/>
      <c r="L164" s="24"/>
      <c r="M164" s="21"/>
    </row>
    <row r="165" spans="2:13" x14ac:dyDescent="0.2">
      <c r="B165" s="28"/>
      <c r="C165" s="45"/>
      <c r="D165" s="46"/>
      <c r="E165" s="47"/>
      <c r="F165" s="46"/>
      <c r="G165" s="48"/>
      <c r="H165" s="11" t="str">
        <f t="shared" si="6"/>
        <v/>
      </c>
      <c r="I165" s="11" t="str">
        <f t="shared" si="7"/>
        <v/>
      </c>
      <c r="J165" s="12" t="str">
        <f t="shared" si="8"/>
        <v/>
      </c>
      <c r="K165" s="24"/>
      <c r="L165" s="24"/>
      <c r="M165" s="21"/>
    </row>
    <row r="166" spans="2:13" x14ac:dyDescent="0.2">
      <c r="B166" s="28"/>
      <c r="C166" s="45"/>
      <c r="D166" s="46"/>
      <c r="E166" s="47"/>
      <c r="F166" s="46"/>
      <c r="G166" s="48"/>
      <c r="H166" s="11" t="str">
        <f t="shared" si="6"/>
        <v/>
      </c>
      <c r="I166" s="11" t="str">
        <f t="shared" si="7"/>
        <v/>
      </c>
      <c r="J166" s="12" t="str">
        <f t="shared" si="8"/>
        <v/>
      </c>
      <c r="K166" s="24"/>
      <c r="L166" s="24"/>
      <c r="M166" s="21"/>
    </row>
    <row r="167" spans="2:13" x14ac:dyDescent="0.2">
      <c r="B167" s="28"/>
      <c r="C167" s="45"/>
      <c r="D167" s="46"/>
      <c r="E167" s="47"/>
      <c r="F167" s="46"/>
      <c r="G167" s="48"/>
      <c r="H167" s="11" t="str">
        <f t="shared" si="6"/>
        <v/>
      </c>
      <c r="I167" s="11" t="str">
        <f t="shared" si="7"/>
        <v/>
      </c>
      <c r="J167" s="12" t="str">
        <f t="shared" si="8"/>
        <v/>
      </c>
      <c r="K167" s="24"/>
      <c r="L167" s="24"/>
      <c r="M167" s="21"/>
    </row>
    <row r="168" spans="2:13" x14ac:dyDescent="0.2">
      <c r="B168" s="28"/>
      <c r="C168" s="45"/>
      <c r="D168" s="46"/>
      <c r="E168" s="47"/>
      <c r="F168" s="46"/>
      <c r="G168" s="48"/>
      <c r="H168" s="11" t="str">
        <f t="shared" si="6"/>
        <v/>
      </c>
      <c r="I168" s="11" t="str">
        <f t="shared" si="7"/>
        <v/>
      </c>
      <c r="J168" s="12" t="str">
        <f t="shared" si="8"/>
        <v/>
      </c>
      <c r="K168" s="24"/>
      <c r="L168" s="24"/>
      <c r="M168" s="21"/>
    </row>
    <row r="169" spans="2:13" x14ac:dyDescent="0.2">
      <c r="B169" s="28"/>
      <c r="C169" s="45"/>
      <c r="D169" s="46"/>
      <c r="E169" s="47"/>
      <c r="F169" s="46"/>
      <c r="G169" s="48"/>
      <c r="H169" s="11" t="str">
        <f t="shared" si="6"/>
        <v/>
      </c>
      <c r="I169" s="11" t="str">
        <f t="shared" si="7"/>
        <v/>
      </c>
      <c r="J169" s="12" t="str">
        <f t="shared" si="8"/>
        <v/>
      </c>
      <c r="K169" s="24"/>
      <c r="L169" s="24"/>
      <c r="M169" s="21"/>
    </row>
    <row r="170" spans="2:13" x14ac:dyDescent="0.2">
      <c r="B170" s="28"/>
      <c r="C170" s="45"/>
      <c r="D170" s="46"/>
      <c r="E170" s="47"/>
      <c r="F170" s="46"/>
      <c r="G170" s="48"/>
      <c r="H170" s="11" t="str">
        <f t="shared" si="6"/>
        <v/>
      </c>
      <c r="I170" s="11" t="str">
        <f t="shared" si="7"/>
        <v/>
      </c>
      <c r="J170" s="12" t="str">
        <f t="shared" si="8"/>
        <v/>
      </c>
      <c r="K170" s="24"/>
      <c r="L170" s="24"/>
      <c r="M170" s="21"/>
    </row>
    <row r="171" spans="2:13" x14ac:dyDescent="0.2">
      <c r="B171" s="28"/>
      <c r="C171" s="45"/>
      <c r="D171" s="46"/>
      <c r="E171" s="47"/>
      <c r="F171" s="46"/>
      <c r="G171" s="48"/>
      <c r="H171" s="11" t="str">
        <f t="shared" si="6"/>
        <v/>
      </c>
      <c r="I171" s="11" t="str">
        <f t="shared" si="7"/>
        <v/>
      </c>
      <c r="J171" s="12" t="str">
        <f t="shared" si="8"/>
        <v/>
      </c>
      <c r="K171" s="24"/>
      <c r="L171" s="24"/>
      <c r="M171" s="21"/>
    </row>
    <row r="172" spans="2:13" x14ac:dyDescent="0.2">
      <c r="B172" s="28"/>
      <c r="C172" s="45"/>
      <c r="D172" s="46"/>
      <c r="E172" s="47"/>
      <c r="F172" s="46"/>
      <c r="G172" s="48"/>
      <c r="H172" s="11" t="str">
        <f t="shared" si="6"/>
        <v/>
      </c>
      <c r="I172" s="11" t="str">
        <f t="shared" si="7"/>
        <v/>
      </c>
      <c r="J172" s="12" t="str">
        <f t="shared" si="8"/>
        <v/>
      </c>
      <c r="K172" s="24"/>
      <c r="L172" s="24"/>
      <c r="M172" s="21"/>
    </row>
    <row r="173" spans="2:13" x14ac:dyDescent="0.2">
      <c r="B173" s="28"/>
      <c r="C173" s="45"/>
      <c r="D173" s="46"/>
      <c r="E173" s="47"/>
      <c r="F173" s="46"/>
      <c r="G173" s="48"/>
      <c r="H173" s="11" t="str">
        <f t="shared" si="6"/>
        <v/>
      </c>
      <c r="I173" s="11" t="str">
        <f t="shared" si="7"/>
        <v/>
      </c>
      <c r="J173" s="12" t="str">
        <f t="shared" si="8"/>
        <v/>
      </c>
      <c r="K173" s="24"/>
      <c r="L173" s="24"/>
      <c r="M173" s="21"/>
    </row>
    <row r="174" spans="2:13" x14ac:dyDescent="0.2">
      <c r="B174" s="28"/>
      <c r="C174" s="45"/>
      <c r="D174" s="46"/>
      <c r="E174" s="47"/>
      <c r="F174" s="46"/>
      <c r="G174" s="48"/>
      <c r="H174" s="11" t="str">
        <f t="shared" si="6"/>
        <v/>
      </c>
      <c r="I174" s="11" t="str">
        <f t="shared" si="7"/>
        <v/>
      </c>
      <c r="J174" s="12" t="str">
        <f t="shared" si="8"/>
        <v/>
      </c>
      <c r="K174" s="24"/>
      <c r="L174" s="24"/>
      <c r="M174" s="21"/>
    </row>
    <row r="175" spans="2:13" x14ac:dyDescent="0.2">
      <c r="B175" s="28"/>
      <c r="C175" s="45"/>
      <c r="D175" s="46"/>
      <c r="E175" s="47"/>
      <c r="F175" s="46"/>
      <c r="G175" s="48"/>
      <c r="H175" s="11" t="str">
        <f t="shared" si="6"/>
        <v/>
      </c>
      <c r="I175" s="11" t="str">
        <f t="shared" si="7"/>
        <v/>
      </c>
      <c r="J175" s="12" t="str">
        <f t="shared" si="8"/>
        <v/>
      </c>
      <c r="K175" s="24"/>
      <c r="L175" s="24"/>
      <c r="M175" s="21"/>
    </row>
    <row r="176" spans="2:13" x14ac:dyDescent="0.2">
      <c r="B176" s="28"/>
      <c r="C176" s="45"/>
      <c r="D176" s="46"/>
      <c r="E176" s="47"/>
      <c r="F176" s="46"/>
      <c r="G176" s="48"/>
      <c r="H176" s="11" t="str">
        <f t="shared" si="6"/>
        <v/>
      </c>
      <c r="I176" s="11" t="str">
        <f t="shared" si="7"/>
        <v/>
      </c>
      <c r="J176" s="12" t="str">
        <f t="shared" si="8"/>
        <v/>
      </c>
      <c r="K176" s="24"/>
      <c r="L176" s="24"/>
      <c r="M176" s="21"/>
    </row>
    <row r="177" spans="2:13" x14ac:dyDescent="0.2">
      <c r="B177" s="28"/>
      <c r="C177" s="45"/>
      <c r="D177" s="46"/>
      <c r="E177" s="47"/>
      <c r="F177" s="46"/>
      <c r="G177" s="48"/>
      <c r="H177" s="11" t="str">
        <f t="shared" si="6"/>
        <v/>
      </c>
      <c r="I177" s="11" t="str">
        <f t="shared" si="7"/>
        <v/>
      </c>
      <c r="J177" s="12" t="str">
        <f t="shared" si="8"/>
        <v/>
      </c>
      <c r="K177" s="24"/>
      <c r="L177" s="24"/>
      <c r="M177" s="21"/>
    </row>
    <row r="178" spans="2:13" x14ac:dyDescent="0.2">
      <c r="B178" s="28"/>
      <c r="C178" s="45"/>
      <c r="D178" s="46"/>
      <c r="E178" s="47"/>
      <c r="F178" s="46"/>
      <c r="G178" s="48"/>
      <c r="H178" s="11" t="str">
        <f t="shared" si="6"/>
        <v/>
      </c>
      <c r="I178" s="11" t="str">
        <f t="shared" si="7"/>
        <v/>
      </c>
      <c r="J178" s="12" t="str">
        <f t="shared" si="8"/>
        <v/>
      </c>
      <c r="K178" s="24"/>
      <c r="L178" s="24"/>
      <c r="M178" s="21"/>
    </row>
    <row r="179" spans="2:13" x14ac:dyDescent="0.2">
      <c r="B179" s="28"/>
      <c r="C179" s="45"/>
      <c r="D179" s="46"/>
      <c r="E179" s="47"/>
      <c r="F179" s="46"/>
      <c r="G179" s="48"/>
      <c r="H179" s="11" t="str">
        <f t="shared" si="6"/>
        <v/>
      </c>
      <c r="I179" s="11" t="str">
        <f t="shared" si="7"/>
        <v/>
      </c>
      <c r="J179" s="12" t="str">
        <f t="shared" si="8"/>
        <v/>
      </c>
      <c r="K179" s="24"/>
      <c r="L179" s="24"/>
      <c r="M179" s="21"/>
    </row>
    <row r="180" spans="2:13" x14ac:dyDescent="0.2">
      <c r="B180" s="28"/>
      <c r="C180" s="45"/>
      <c r="D180" s="46"/>
      <c r="E180" s="47"/>
      <c r="F180" s="46"/>
      <c r="G180" s="48"/>
      <c r="H180" s="11" t="str">
        <f t="shared" si="6"/>
        <v/>
      </c>
      <c r="I180" s="11" t="str">
        <f t="shared" si="7"/>
        <v/>
      </c>
      <c r="J180" s="12" t="str">
        <f t="shared" si="8"/>
        <v/>
      </c>
      <c r="K180" s="24"/>
      <c r="L180" s="24"/>
      <c r="M180" s="21"/>
    </row>
    <row r="181" spans="2:13" x14ac:dyDescent="0.2">
      <c r="B181" s="28"/>
      <c r="C181" s="45"/>
      <c r="D181" s="46"/>
      <c r="E181" s="47"/>
      <c r="F181" s="46"/>
      <c r="G181" s="48"/>
      <c r="H181" s="11" t="str">
        <f t="shared" si="6"/>
        <v/>
      </c>
      <c r="I181" s="11" t="str">
        <f t="shared" si="7"/>
        <v/>
      </c>
      <c r="J181" s="12" t="str">
        <f t="shared" si="8"/>
        <v/>
      </c>
      <c r="K181" s="24"/>
      <c r="L181" s="24"/>
      <c r="M181" s="21"/>
    </row>
    <row r="182" spans="2:13" x14ac:dyDescent="0.2">
      <c r="B182" s="28"/>
      <c r="C182" s="45"/>
      <c r="D182" s="46"/>
      <c r="E182" s="47"/>
      <c r="F182" s="46"/>
      <c r="G182" s="48"/>
      <c r="H182" s="11" t="str">
        <f t="shared" si="6"/>
        <v/>
      </c>
      <c r="I182" s="11" t="str">
        <f t="shared" si="7"/>
        <v/>
      </c>
      <c r="J182" s="12" t="str">
        <f t="shared" si="8"/>
        <v/>
      </c>
      <c r="K182" s="24"/>
      <c r="L182" s="24"/>
      <c r="M182" s="21"/>
    </row>
    <row r="183" spans="2:13" x14ac:dyDescent="0.2">
      <c r="B183" s="28"/>
      <c r="C183" s="45"/>
      <c r="D183" s="46"/>
      <c r="E183" s="47"/>
      <c r="F183" s="46"/>
      <c r="G183" s="48"/>
      <c r="H183" s="11" t="str">
        <f t="shared" si="6"/>
        <v/>
      </c>
      <c r="I183" s="11" t="str">
        <f t="shared" si="7"/>
        <v/>
      </c>
      <c r="J183" s="12" t="str">
        <f t="shared" si="8"/>
        <v/>
      </c>
      <c r="K183" s="24"/>
      <c r="L183" s="24"/>
      <c r="M183" s="21"/>
    </row>
    <row r="184" spans="2:13" x14ac:dyDescent="0.2">
      <c r="B184" s="28"/>
      <c r="C184" s="45"/>
      <c r="D184" s="46"/>
      <c r="E184" s="47"/>
      <c r="F184" s="46"/>
      <c r="G184" s="48"/>
      <c r="H184" s="11" t="str">
        <f t="shared" si="6"/>
        <v/>
      </c>
      <c r="I184" s="11" t="str">
        <f t="shared" si="7"/>
        <v/>
      </c>
      <c r="J184" s="12" t="str">
        <f t="shared" si="8"/>
        <v/>
      </c>
      <c r="K184" s="24"/>
      <c r="L184" s="24"/>
      <c r="M184" s="21"/>
    </row>
    <row r="185" spans="2:13" x14ac:dyDescent="0.2">
      <c r="B185" s="28"/>
      <c r="C185" s="45"/>
      <c r="D185" s="46"/>
      <c r="E185" s="47"/>
      <c r="F185" s="46"/>
      <c r="G185" s="48"/>
      <c r="H185" s="11" t="str">
        <f t="shared" si="6"/>
        <v/>
      </c>
      <c r="I185" s="11" t="str">
        <f t="shared" si="7"/>
        <v/>
      </c>
      <c r="J185" s="12" t="str">
        <f t="shared" si="8"/>
        <v/>
      </c>
      <c r="K185" s="24"/>
      <c r="L185" s="24"/>
      <c r="M185" s="21"/>
    </row>
    <row r="186" spans="2:13" x14ac:dyDescent="0.2">
      <c r="B186" s="28"/>
      <c r="C186" s="45"/>
      <c r="D186" s="46"/>
      <c r="E186" s="47"/>
      <c r="F186" s="46"/>
      <c r="G186" s="48"/>
      <c r="H186" s="11" t="str">
        <f t="shared" si="6"/>
        <v/>
      </c>
      <c r="I186" s="11" t="str">
        <f t="shared" si="7"/>
        <v/>
      </c>
      <c r="J186" s="12" t="str">
        <f t="shared" si="8"/>
        <v/>
      </c>
      <c r="K186" s="24"/>
      <c r="L186" s="24"/>
      <c r="M186" s="21"/>
    </row>
    <row r="187" spans="2:13" x14ac:dyDescent="0.2">
      <c r="B187" s="28"/>
      <c r="C187" s="45"/>
      <c r="D187" s="46"/>
      <c r="E187" s="47"/>
      <c r="F187" s="46"/>
      <c r="G187" s="48"/>
      <c r="H187" s="11" t="str">
        <f t="shared" si="6"/>
        <v/>
      </c>
      <c r="I187" s="11" t="str">
        <f t="shared" si="7"/>
        <v/>
      </c>
      <c r="J187" s="12" t="str">
        <f t="shared" si="8"/>
        <v/>
      </c>
      <c r="K187" s="24"/>
      <c r="L187" s="24"/>
      <c r="M187" s="21"/>
    </row>
    <row r="188" spans="2:13" x14ac:dyDescent="0.2">
      <c r="B188" s="28"/>
      <c r="C188" s="45"/>
      <c r="D188" s="46"/>
      <c r="E188" s="47"/>
      <c r="F188" s="46"/>
      <c r="G188" s="48"/>
      <c r="H188" s="11" t="str">
        <f t="shared" si="6"/>
        <v/>
      </c>
      <c r="I188" s="11" t="str">
        <f t="shared" si="7"/>
        <v/>
      </c>
      <c r="J188" s="12" t="str">
        <f t="shared" si="8"/>
        <v/>
      </c>
      <c r="K188" s="24"/>
      <c r="L188" s="24"/>
      <c r="M188" s="21"/>
    </row>
    <row r="189" spans="2:13" x14ac:dyDescent="0.2">
      <c r="B189" s="28"/>
      <c r="C189" s="45"/>
      <c r="D189" s="46"/>
      <c r="E189" s="47"/>
      <c r="F189" s="46"/>
      <c r="G189" s="48"/>
      <c r="H189" s="11" t="str">
        <f t="shared" si="6"/>
        <v/>
      </c>
      <c r="I189" s="11" t="str">
        <f t="shared" si="7"/>
        <v/>
      </c>
      <c r="J189" s="12" t="str">
        <f t="shared" si="8"/>
        <v/>
      </c>
      <c r="K189" s="24"/>
      <c r="L189" s="24"/>
      <c r="M189" s="21"/>
    </row>
    <row r="190" spans="2:13" x14ac:dyDescent="0.2">
      <c r="B190" s="28"/>
      <c r="C190" s="45"/>
      <c r="D190" s="46"/>
      <c r="E190" s="47"/>
      <c r="F190" s="46"/>
      <c r="G190" s="48"/>
      <c r="H190" s="11" t="str">
        <f t="shared" si="6"/>
        <v/>
      </c>
      <c r="I190" s="11" t="str">
        <f t="shared" si="7"/>
        <v/>
      </c>
      <c r="J190" s="12" t="str">
        <f t="shared" si="8"/>
        <v/>
      </c>
      <c r="K190" s="24"/>
      <c r="L190" s="24"/>
      <c r="M190" s="21"/>
    </row>
    <row r="191" spans="2:13" x14ac:dyDescent="0.2">
      <c r="B191" s="28"/>
      <c r="C191" s="45"/>
      <c r="D191" s="46"/>
      <c r="E191" s="47"/>
      <c r="F191" s="46"/>
      <c r="G191" s="48"/>
      <c r="H191" s="11" t="str">
        <f t="shared" si="6"/>
        <v/>
      </c>
      <c r="I191" s="11" t="str">
        <f t="shared" si="7"/>
        <v/>
      </c>
      <c r="J191" s="12" t="str">
        <f t="shared" si="8"/>
        <v/>
      </c>
      <c r="K191" s="24"/>
      <c r="L191" s="24"/>
      <c r="M191" s="21"/>
    </row>
    <row r="192" spans="2:13" x14ac:dyDescent="0.2">
      <c r="B192" s="28"/>
      <c r="C192" s="45"/>
      <c r="D192" s="46"/>
      <c r="E192" s="47"/>
      <c r="F192" s="46"/>
      <c r="G192" s="48"/>
      <c r="H192" s="11" t="str">
        <f t="shared" si="6"/>
        <v/>
      </c>
      <c r="I192" s="11" t="str">
        <f t="shared" si="7"/>
        <v/>
      </c>
      <c r="J192" s="12" t="str">
        <f t="shared" si="8"/>
        <v/>
      </c>
      <c r="K192" s="24"/>
      <c r="L192" s="24"/>
      <c r="M192" s="21"/>
    </row>
    <row r="193" spans="2:13" x14ac:dyDescent="0.2">
      <c r="B193" s="28"/>
      <c r="C193" s="45"/>
      <c r="D193" s="46"/>
      <c r="E193" s="47"/>
      <c r="F193" s="46"/>
      <c r="G193" s="48"/>
      <c r="H193" s="11" t="str">
        <f t="shared" si="6"/>
        <v/>
      </c>
      <c r="I193" s="11" t="str">
        <f t="shared" si="7"/>
        <v/>
      </c>
      <c r="J193" s="12" t="str">
        <f t="shared" si="8"/>
        <v/>
      </c>
      <c r="K193" s="24"/>
      <c r="L193" s="24"/>
      <c r="M193" s="21"/>
    </row>
    <row r="194" spans="2:13" x14ac:dyDescent="0.2">
      <c r="B194" s="28"/>
      <c r="C194" s="45"/>
      <c r="D194" s="46"/>
      <c r="E194" s="47"/>
      <c r="F194" s="46"/>
      <c r="G194" s="48"/>
      <c r="H194" s="11" t="str">
        <f t="shared" si="6"/>
        <v/>
      </c>
      <c r="I194" s="11" t="str">
        <f t="shared" si="7"/>
        <v/>
      </c>
      <c r="J194" s="12" t="str">
        <f t="shared" si="8"/>
        <v/>
      </c>
      <c r="K194" s="24"/>
      <c r="L194" s="24"/>
      <c r="M194" s="21"/>
    </row>
    <row r="195" spans="2:13" x14ac:dyDescent="0.2">
      <c r="B195" s="28"/>
      <c r="C195" s="45"/>
      <c r="D195" s="46"/>
      <c r="E195" s="47"/>
      <c r="F195" s="46"/>
      <c r="G195" s="48"/>
      <c r="H195" s="11" t="str">
        <f t="shared" si="6"/>
        <v/>
      </c>
      <c r="I195" s="11" t="str">
        <f t="shared" si="7"/>
        <v/>
      </c>
      <c r="J195" s="12" t="str">
        <f t="shared" si="8"/>
        <v/>
      </c>
      <c r="K195" s="24"/>
      <c r="L195" s="24"/>
      <c r="M195" s="21"/>
    </row>
    <row r="196" spans="2:13" x14ac:dyDescent="0.2">
      <c r="B196" s="28"/>
      <c r="C196" s="45"/>
      <c r="D196" s="46"/>
      <c r="E196" s="47"/>
      <c r="F196" s="46"/>
      <c r="G196" s="48"/>
      <c r="H196" s="11" t="str">
        <f t="shared" si="6"/>
        <v/>
      </c>
      <c r="I196" s="11" t="str">
        <f t="shared" si="7"/>
        <v/>
      </c>
      <c r="J196" s="12" t="str">
        <f t="shared" si="8"/>
        <v/>
      </c>
      <c r="K196" s="24"/>
      <c r="L196" s="24"/>
      <c r="M196" s="21"/>
    </row>
    <row r="197" spans="2:13" x14ac:dyDescent="0.2">
      <c r="B197" s="28"/>
      <c r="C197" s="45"/>
      <c r="D197" s="46"/>
      <c r="E197" s="47"/>
      <c r="F197" s="46"/>
      <c r="G197" s="48"/>
      <c r="H197" s="11" t="str">
        <f t="shared" si="6"/>
        <v/>
      </c>
      <c r="I197" s="11" t="str">
        <f t="shared" si="7"/>
        <v/>
      </c>
      <c r="J197" s="12" t="str">
        <f t="shared" si="8"/>
        <v/>
      </c>
      <c r="K197" s="24"/>
      <c r="L197" s="24"/>
      <c r="M197" s="21"/>
    </row>
    <row r="198" spans="2:13" x14ac:dyDescent="0.2">
      <c r="B198" s="28"/>
      <c r="C198" s="45"/>
      <c r="D198" s="46"/>
      <c r="E198" s="47"/>
      <c r="F198" s="46"/>
      <c r="G198" s="48"/>
      <c r="H198" s="11" t="str">
        <f t="shared" si="6"/>
        <v/>
      </c>
      <c r="I198" s="11" t="str">
        <f t="shared" si="7"/>
        <v/>
      </c>
      <c r="J198" s="12" t="str">
        <f t="shared" si="8"/>
        <v/>
      </c>
      <c r="K198" s="24"/>
      <c r="L198" s="24"/>
      <c r="M198" s="21"/>
    </row>
    <row r="199" spans="2:13" x14ac:dyDescent="0.2">
      <c r="B199" s="28"/>
      <c r="C199" s="45"/>
      <c r="D199" s="46"/>
      <c r="E199" s="47"/>
      <c r="F199" s="46"/>
      <c r="G199" s="48"/>
      <c r="H199" s="11" t="str">
        <f t="shared" si="6"/>
        <v/>
      </c>
      <c r="I199" s="11" t="str">
        <f t="shared" si="7"/>
        <v/>
      </c>
      <c r="J199" s="12" t="str">
        <f t="shared" si="8"/>
        <v/>
      </c>
      <c r="K199" s="24"/>
      <c r="L199" s="24"/>
      <c r="M199" s="21"/>
    </row>
    <row r="200" spans="2:13" x14ac:dyDescent="0.2">
      <c r="B200" s="28"/>
      <c r="C200" s="45"/>
      <c r="D200" s="46"/>
      <c r="E200" s="47"/>
      <c r="F200" s="46"/>
      <c r="G200" s="48"/>
      <c r="H200" s="11" t="str">
        <f t="shared" si="6"/>
        <v/>
      </c>
      <c r="I200" s="11" t="str">
        <f t="shared" si="7"/>
        <v/>
      </c>
      <c r="J200" s="12" t="str">
        <f t="shared" si="8"/>
        <v/>
      </c>
      <c r="K200" s="24"/>
      <c r="L200" s="24"/>
      <c r="M200" s="21"/>
    </row>
    <row r="201" spans="2:13" x14ac:dyDescent="0.2">
      <c r="B201" s="28"/>
      <c r="C201" s="45"/>
      <c r="D201" s="46"/>
      <c r="E201" s="47"/>
      <c r="F201" s="46"/>
      <c r="G201" s="48"/>
      <c r="H201" s="11" t="str">
        <f t="shared" si="6"/>
        <v/>
      </c>
      <c r="I201" s="11" t="str">
        <f t="shared" si="7"/>
        <v/>
      </c>
      <c r="J201" s="12" t="str">
        <f t="shared" si="8"/>
        <v/>
      </c>
      <c r="K201" s="24"/>
      <c r="L201" s="24"/>
      <c r="M201" s="21"/>
    </row>
    <row r="202" spans="2:13" x14ac:dyDescent="0.2">
      <c r="B202" s="28"/>
      <c r="C202" s="45"/>
      <c r="D202" s="46"/>
      <c r="E202" s="47"/>
      <c r="F202" s="46"/>
      <c r="G202" s="48"/>
      <c r="H202" s="11" t="str">
        <f t="shared" si="6"/>
        <v/>
      </c>
      <c r="I202" s="11" t="str">
        <f t="shared" si="7"/>
        <v/>
      </c>
      <c r="J202" s="12" t="str">
        <f t="shared" si="8"/>
        <v/>
      </c>
      <c r="K202" s="24"/>
      <c r="L202" s="24"/>
      <c r="M202" s="21"/>
    </row>
    <row r="203" spans="2:13" x14ac:dyDescent="0.2">
      <c r="B203" s="28"/>
      <c r="C203" s="45"/>
      <c r="D203" s="46"/>
      <c r="E203" s="47"/>
      <c r="F203" s="46"/>
      <c r="G203" s="48"/>
      <c r="H203" s="11" t="str">
        <f t="shared" si="6"/>
        <v/>
      </c>
      <c r="I203" s="11" t="str">
        <f t="shared" si="7"/>
        <v/>
      </c>
      <c r="J203" s="12" t="str">
        <f t="shared" si="8"/>
        <v/>
      </c>
      <c r="K203" s="24"/>
      <c r="L203" s="24"/>
      <c r="M203" s="21"/>
    </row>
    <row r="204" spans="2:13" x14ac:dyDescent="0.2">
      <c r="B204" s="28"/>
      <c r="C204" s="45"/>
      <c r="D204" s="46"/>
      <c r="E204" s="47"/>
      <c r="F204" s="46"/>
      <c r="G204" s="48"/>
      <c r="H204" s="11" t="str">
        <f t="shared" si="6"/>
        <v/>
      </c>
      <c r="I204" s="11" t="str">
        <f t="shared" si="7"/>
        <v/>
      </c>
      <c r="J204" s="12" t="str">
        <f t="shared" si="8"/>
        <v/>
      </c>
      <c r="K204" s="24"/>
      <c r="L204" s="24"/>
      <c r="M204" s="21"/>
    </row>
    <row r="205" spans="2:13" x14ac:dyDescent="0.2">
      <c r="B205" s="28"/>
      <c r="C205" s="45"/>
      <c r="D205" s="46"/>
      <c r="E205" s="47"/>
      <c r="F205" s="46"/>
      <c r="G205" s="48"/>
      <c r="H205" s="11" t="str">
        <f t="shared" si="6"/>
        <v/>
      </c>
      <c r="I205" s="11" t="str">
        <f t="shared" si="7"/>
        <v/>
      </c>
      <c r="J205" s="12" t="str">
        <f t="shared" si="8"/>
        <v/>
      </c>
      <c r="K205" s="24"/>
      <c r="L205" s="24"/>
      <c r="M205" s="21"/>
    </row>
    <row r="206" spans="2:13" x14ac:dyDescent="0.2">
      <c r="B206" s="28"/>
      <c r="C206" s="45"/>
      <c r="D206" s="46"/>
      <c r="E206" s="47"/>
      <c r="F206" s="46"/>
      <c r="G206" s="48"/>
      <c r="H206" s="11" t="str">
        <f t="shared" si="6"/>
        <v/>
      </c>
      <c r="I206" s="11" t="str">
        <f t="shared" si="7"/>
        <v/>
      </c>
      <c r="J206" s="12" t="str">
        <f t="shared" si="8"/>
        <v/>
      </c>
      <c r="K206" s="24"/>
      <c r="L206" s="24"/>
      <c r="M206" s="21"/>
    </row>
    <row r="207" spans="2:13" x14ac:dyDescent="0.2">
      <c r="B207" s="28"/>
      <c r="C207" s="45"/>
      <c r="D207" s="46"/>
      <c r="E207" s="47"/>
      <c r="F207" s="46"/>
      <c r="G207" s="48"/>
      <c r="H207" s="11" t="str">
        <f t="shared" si="6"/>
        <v/>
      </c>
      <c r="I207" s="11" t="str">
        <f t="shared" si="7"/>
        <v/>
      </c>
      <c r="J207" s="12" t="str">
        <f t="shared" si="8"/>
        <v/>
      </c>
      <c r="K207" s="24"/>
      <c r="L207" s="24"/>
      <c r="M207" s="21"/>
    </row>
    <row r="208" spans="2:13" x14ac:dyDescent="0.2">
      <c r="B208" s="28"/>
      <c r="C208" s="45"/>
      <c r="D208" s="46"/>
      <c r="E208" s="47"/>
      <c r="F208" s="46"/>
      <c r="G208" s="48"/>
      <c r="H208" s="11" t="str">
        <f t="shared" si="6"/>
        <v/>
      </c>
      <c r="I208" s="11" t="str">
        <f t="shared" si="7"/>
        <v/>
      </c>
      <c r="J208" s="12" t="str">
        <f t="shared" si="8"/>
        <v/>
      </c>
      <c r="K208" s="24"/>
      <c r="L208" s="24"/>
      <c r="M208" s="21"/>
    </row>
    <row r="209" spans="2:13" x14ac:dyDescent="0.2">
      <c r="B209" s="28"/>
      <c r="C209" s="45"/>
      <c r="D209" s="46"/>
      <c r="E209" s="47"/>
      <c r="F209" s="46"/>
      <c r="G209" s="48"/>
      <c r="H209" s="11" t="str">
        <f t="shared" si="6"/>
        <v/>
      </c>
      <c r="I209" s="11" t="str">
        <f t="shared" si="7"/>
        <v/>
      </c>
      <c r="J209" s="12" t="str">
        <f t="shared" si="8"/>
        <v/>
      </c>
      <c r="K209" s="24"/>
      <c r="L209" s="24"/>
      <c r="M209" s="21"/>
    </row>
    <row r="210" spans="2:13" x14ac:dyDescent="0.2">
      <c r="B210" s="28"/>
      <c r="C210" s="45"/>
      <c r="D210" s="46"/>
      <c r="E210" s="47"/>
      <c r="F210" s="46"/>
      <c r="G210" s="48"/>
      <c r="H210" s="11" t="str">
        <f t="shared" si="6"/>
        <v/>
      </c>
      <c r="I210" s="11" t="str">
        <f t="shared" si="7"/>
        <v/>
      </c>
      <c r="J210" s="12" t="str">
        <f t="shared" si="8"/>
        <v/>
      </c>
      <c r="K210" s="24"/>
      <c r="L210" s="24"/>
      <c r="M210" s="21"/>
    </row>
    <row r="211" spans="2:13" x14ac:dyDescent="0.2">
      <c r="B211" s="28"/>
      <c r="C211" s="45"/>
      <c r="D211" s="46"/>
      <c r="E211" s="47"/>
      <c r="F211" s="46"/>
      <c r="G211" s="48"/>
      <c r="H211" s="11" t="str">
        <f t="shared" si="6"/>
        <v/>
      </c>
      <c r="I211" s="11" t="str">
        <f t="shared" si="7"/>
        <v/>
      </c>
      <c r="J211" s="12" t="str">
        <f t="shared" si="8"/>
        <v/>
      </c>
      <c r="K211" s="24"/>
      <c r="L211" s="24"/>
      <c r="M211" s="21"/>
    </row>
    <row r="212" spans="2:13" x14ac:dyDescent="0.2">
      <c r="B212" s="28"/>
      <c r="C212" s="45"/>
      <c r="D212" s="46"/>
      <c r="E212" s="47"/>
      <c r="F212" s="46"/>
      <c r="G212" s="48"/>
      <c r="H212" s="11" t="str">
        <f t="shared" si="6"/>
        <v/>
      </c>
      <c r="I212" s="11" t="str">
        <f t="shared" si="7"/>
        <v/>
      </c>
      <c r="J212" s="12" t="str">
        <f t="shared" si="8"/>
        <v/>
      </c>
      <c r="K212" s="24"/>
      <c r="L212" s="24"/>
      <c r="M212" s="21"/>
    </row>
    <row r="213" spans="2:13" x14ac:dyDescent="0.2">
      <c r="B213" s="28"/>
      <c r="C213" s="45"/>
      <c r="D213" s="46"/>
      <c r="E213" s="47"/>
      <c r="F213" s="46"/>
      <c r="G213" s="48"/>
      <c r="H213" s="11" t="str">
        <f t="shared" si="6"/>
        <v/>
      </c>
      <c r="I213" s="11" t="str">
        <f t="shared" si="7"/>
        <v/>
      </c>
      <c r="J213" s="12" t="str">
        <f t="shared" si="8"/>
        <v/>
      </c>
      <c r="K213" s="24"/>
      <c r="L213" s="24"/>
      <c r="M213" s="21"/>
    </row>
    <row r="214" spans="2:13" x14ac:dyDescent="0.2">
      <c r="B214" s="28"/>
      <c r="C214" s="45"/>
      <c r="D214" s="46"/>
      <c r="E214" s="47"/>
      <c r="F214" s="46"/>
      <c r="G214" s="48"/>
      <c r="H214" s="11" t="str">
        <f t="shared" si="6"/>
        <v/>
      </c>
      <c r="I214" s="11" t="str">
        <f t="shared" si="7"/>
        <v/>
      </c>
      <c r="J214" s="12" t="str">
        <f t="shared" si="8"/>
        <v/>
      </c>
      <c r="K214" s="24"/>
      <c r="L214" s="24"/>
      <c r="M214" s="21"/>
    </row>
    <row r="215" spans="2:13" x14ac:dyDescent="0.2">
      <c r="B215" s="28"/>
      <c r="C215" s="45"/>
      <c r="D215" s="46"/>
      <c r="E215" s="47"/>
      <c r="F215" s="46"/>
      <c r="G215" s="48"/>
      <c r="H215" s="11" t="str">
        <f t="shared" si="6"/>
        <v/>
      </c>
      <c r="I215" s="11" t="str">
        <f t="shared" si="7"/>
        <v/>
      </c>
      <c r="J215" s="12" t="str">
        <f t="shared" si="8"/>
        <v/>
      </c>
      <c r="K215" s="24"/>
      <c r="L215" s="24"/>
      <c r="M215" s="21"/>
    </row>
    <row r="216" spans="2:13" x14ac:dyDescent="0.2">
      <c r="B216" s="28"/>
      <c r="C216" s="45"/>
      <c r="D216" s="46"/>
      <c r="E216" s="47"/>
      <c r="F216" s="46"/>
      <c r="G216" s="48"/>
      <c r="H216" s="11" t="str">
        <f t="shared" si="6"/>
        <v/>
      </c>
      <c r="I216" s="11" t="str">
        <f t="shared" si="7"/>
        <v/>
      </c>
      <c r="J216" s="12" t="str">
        <f t="shared" si="8"/>
        <v/>
      </c>
      <c r="K216" s="24"/>
      <c r="L216" s="24"/>
      <c r="M216" s="21"/>
    </row>
    <row r="217" spans="2:13" x14ac:dyDescent="0.2">
      <c r="B217" s="28"/>
      <c r="C217" s="45"/>
      <c r="D217" s="46"/>
      <c r="E217" s="47"/>
      <c r="F217" s="46"/>
      <c r="G217" s="48"/>
      <c r="H217" s="11" t="str">
        <f t="shared" si="6"/>
        <v/>
      </c>
      <c r="I217" s="11" t="str">
        <f t="shared" si="7"/>
        <v/>
      </c>
      <c r="J217" s="12" t="str">
        <f t="shared" si="8"/>
        <v/>
      </c>
      <c r="K217" s="24"/>
      <c r="L217" s="24"/>
      <c r="M217" s="21"/>
    </row>
    <row r="218" spans="2:13" x14ac:dyDescent="0.2">
      <c r="B218" s="28"/>
      <c r="C218" s="45"/>
      <c r="D218" s="46"/>
      <c r="E218" s="47"/>
      <c r="F218" s="46"/>
      <c r="G218" s="48"/>
      <c r="H218" s="11" t="str">
        <f t="shared" si="6"/>
        <v/>
      </c>
      <c r="I218" s="11" t="str">
        <f t="shared" si="7"/>
        <v/>
      </c>
      <c r="J218" s="12" t="str">
        <f t="shared" si="8"/>
        <v/>
      </c>
      <c r="K218" s="24"/>
      <c r="L218" s="24"/>
      <c r="M218" s="21"/>
    </row>
    <row r="219" spans="2:13" x14ac:dyDescent="0.2">
      <c r="B219" s="28"/>
      <c r="C219" s="45"/>
      <c r="D219" s="46"/>
      <c r="E219" s="47"/>
      <c r="F219" s="46"/>
      <c r="G219" s="48"/>
      <c r="H219" s="11" t="str">
        <f t="shared" si="6"/>
        <v/>
      </c>
      <c r="I219" s="11" t="str">
        <f t="shared" si="7"/>
        <v/>
      </c>
      <c r="J219" s="12" t="str">
        <f t="shared" si="8"/>
        <v/>
      </c>
      <c r="K219" s="24"/>
      <c r="L219" s="24"/>
      <c r="M219" s="21"/>
    </row>
    <row r="220" spans="2:13" x14ac:dyDescent="0.2">
      <c r="B220" s="28"/>
      <c r="C220" s="45"/>
      <c r="D220" s="46"/>
      <c r="E220" s="47"/>
      <c r="F220" s="46"/>
      <c r="G220" s="48"/>
      <c r="H220" s="11" t="str">
        <f t="shared" si="6"/>
        <v/>
      </c>
      <c r="I220" s="11" t="str">
        <f t="shared" si="7"/>
        <v/>
      </c>
      <c r="J220" s="12" t="str">
        <f t="shared" si="8"/>
        <v/>
      </c>
      <c r="K220" s="24"/>
      <c r="L220" s="24"/>
      <c r="M220" s="21"/>
    </row>
    <row r="221" spans="2:13" x14ac:dyDescent="0.2">
      <c r="B221" s="28"/>
      <c r="C221" s="45"/>
      <c r="D221" s="46"/>
      <c r="E221" s="47"/>
      <c r="F221" s="46"/>
      <c r="G221" s="48"/>
      <c r="H221" s="11" t="str">
        <f t="shared" si="6"/>
        <v/>
      </c>
      <c r="I221" s="11" t="str">
        <f t="shared" si="7"/>
        <v/>
      </c>
      <c r="J221" s="12" t="str">
        <f t="shared" si="8"/>
        <v/>
      </c>
      <c r="K221" s="24"/>
      <c r="L221" s="24"/>
      <c r="M221" s="21"/>
    </row>
    <row r="222" spans="2:13" x14ac:dyDescent="0.2">
      <c r="B222" s="28"/>
      <c r="C222" s="45"/>
      <c r="D222" s="46"/>
      <c r="E222" s="47"/>
      <c r="F222" s="46"/>
      <c r="G222" s="48"/>
      <c r="H222" s="11" t="str">
        <f t="shared" ref="H222:H267" si="9">IF(D222&gt;0,IF(F222="NORMAL",(ROUNDUP(D222/7,0))+2,0),"")</f>
        <v/>
      </c>
      <c r="I222" s="11" t="str">
        <f t="shared" ref="I222:I267" si="10">IF(D222&gt;0,IF(F222="IMMEDIATE",(ROUNDUP(D222/7,0))+2,0),"")</f>
        <v/>
      </c>
      <c r="J222" s="12" t="str">
        <f t="shared" ref="J222:J267" si="11">IF(D222&gt;0,(H222+I222)*E222,"")</f>
        <v/>
      </c>
      <c r="K222" s="24"/>
      <c r="L222" s="24"/>
      <c r="M222" s="21"/>
    </row>
    <row r="223" spans="2:13" x14ac:dyDescent="0.2">
      <c r="B223" s="28"/>
      <c r="C223" s="45"/>
      <c r="D223" s="46"/>
      <c r="E223" s="47"/>
      <c r="F223" s="46"/>
      <c r="G223" s="48"/>
      <c r="H223" s="11" t="str">
        <f t="shared" si="9"/>
        <v/>
      </c>
      <c r="I223" s="11" t="str">
        <f t="shared" si="10"/>
        <v/>
      </c>
      <c r="J223" s="12" t="str">
        <f t="shared" si="11"/>
        <v/>
      </c>
      <c r="K223" s="24"/>
      <c r="L223" s="24"/>
      <c r="M223" s="21"/>
    </row>
    <row r="224" spans="2:13" x14ac:dyDescent="0.2">
      <c r="B224" s="28"/>
      <c r="C224" s="45"/>
      <c r="D224" s="46"/>
      <c r="E224" s="47"/>
      <c r="F224" s="46"/>
      <c r="G224" s="48"/>
      <c r="H224" s="11" t="str">
        <f t="shared" si="9"/>
        <v/>
      </c>
      <c r="I224" s="11" t="str">
        <f t="shared" si="10"/>
        <v/>
      </c>
      <c r="J224" s="12" t="str">
        <f t="shared" si="11"/>
        <v/>
      </c>
      <c r="K224" s="24"/>
      <c r="L224" s="24"/>
      <c r="M224" s="21"/>
    </row>
    <row r="225" spans="2:13" x14ac:dyDescent="0.2">
      <c r="B225" s="28"/>
      <c r="C225" s="45"/>
      <c r="D225" s="46"/>
      <c r="E225" s="47"/>
      <c r="F225" s="46"/>
      <c r="G225" s="48"/>
      <c r="H225" s="11" t="str">
        <f t="shared" si="9"/>
        <v/>
      </c>
      <c r="I225" s="11" t="str">
        <f t="shared" si="10"/>
        <v/>
      </c>
      <c r="J225" s="12" t="str">
        <f t="shared" si="11"/>
        <v/>
      </c>
      <c r="K225" s="24"/>
      <c r="L225" s="24"/>
      <c r="M225" s="21"/>
    </row>
    <row r="226" spans="2:13" x14ac:dyDescent="0.2">
      <c r="B226" s="28"/>
      <c r="C226" s="45"/>
      <c r="D226" s="46"/>
      <c r="E226" s="47"/>
      <c r="F226" s="46"/>
      <c r="G226" s="48"/>
      <c r="H226" s="11" t="str">
        <f t="shared" si="9"/>
        <v/>
      </c>
      <c r="I226" s="11" t="str">
        <f t="shared" si="10"/>
        <v/>
      </c>
      <c r="J226" s="12" t="str">
        <f t="shared" si="11"/>
        <v/>
      </c>
      <c r="K226" s="24"/>
      <c r="L226" s="24"/>
      <c r="M226" s="21"/>
    </row>
    <row r="227" spans="2:13" x14ac:dyDescent="0.2">
      <c r="B227" s="28"/>
      <c r="C227" s="45"/>
      <c r="D227" s="46"/>
      <c r="E227" s="47"/>
      <c r="F227" s="46"/>
      <c r="G227" s="48"/>
      <c r="H227" s="11" t="str">
        <f t="shared" si="9"/>
        <v/>
      </c>
      <c r="I227" s="11" t="str">
        <f t="shared" si="10"/>
        <v/>
      </c>
      <c r="J227" s="12" t="str">
        <f t="shared" si="11"/>
        <v/>
      </c>
      <c r="K227" s="24"/>
      <c r="L227" s="24"/>
      <c r="M227" s="21"/>
    </row>
    <row r="228" spans="2:13" x14ac:dyDescent="0.2">
      <c r="B228" s="28"/>
      <c r="C228" s="45"/>
      <c r="D228" s="46"/>
      <c r="E228" s="47"/>
      <c r="F228" s="46"/>
      <c r="G228" s="48"/>
      <c r="H228" s="11" t="str">
        <f t="shared" si="9"/>
        <v/>
      </c>
      <c r="I228" s="11" t="str">
        <f t="shared" si="10"/>
        <v/>
      </c>
      <c r="J228" s="12" t="str">
        <f t="shared" si="11"/>
        <v/>
      </c>
      <c r="K228" s="24"/>
      <c r="L228" s="24"/>
      <c r="M228" s="21"/>
    </row>
    <row r="229" spans="2:13" x14ac:dyDescent="0.2">
      <c r="B229" s="28"/>
      <c r="C229" s="45"/>
      <c r="D229" s="46"/>
      <c r="E229" s="47"/>
      <c r="F229" s="46"/>
      <c r="G229" s="48"/>
      <c r="H229" s="11" t="str">
        <f t="shared" si="9"/>
        <v/>
      </c>
      <c r="I229" s="11" t="str">
        <f t="shared" si="10"/>
        <v/>
      </c>
      <c r="J229" s="12" t="str">
        <f t="shared" si="11"/>
        <v/>
      </c>
      <c r="K229" s="24"/>
      <c r="L229" s="24"/>
      <c r="M229" s="21"/>
    </row>
    <row r="230" spans="2:13" x14ac:dyDescent="0.2">
      <c r="B230" s="28"/>
      <c r="C230" s="45"/>
      <c r="D230" s="46"/>
      <c r="E230" s="47"/>
      <c r="F230" s="46"/>
      <c r="G230" s="48"/>
      <c r="H230" s="11" t="str">
        <f t="shared" si="9"/>
        <v/>
      </c>
      <c r="I230" s="11" t="str">
        <f t="shared" si="10"/>
        <v/>
      </c>
      <c r="J230" s="12" t="str">
        <f t="shared" si="11"/>
        <v/>
      </c>
      <c r="K230" s="24"/>
      <c r="L230" s="24"/>
      <c r="M230" s="21"/>
    </row>
    <row r="231" spans="2:13" x14ac:dyDescent="0.2">
      <c r="B231" s="28"/>
      <c r="C231" s="45"/>
      <c r="D231" s="46"/>
      <c r="E231" s="47"/>
      <c r="F231" s="46"/>
      <c r="G231" s="48"/>
      <c r="H231" s="11" t="str">
        <f t="shared" si="9"/>
        <v/>
      </c>
      <c r="I231" s="11" t="str">
        <f t="shared" si="10"/>
        <v/>
      </c>
      <c r="J231" s="12" t="str">
        <f t="shared" si="11"/>
        <v/>
      </c>
      <c r="K231" s="24"/>
      <c r="L231" s="24"/>
      <c r="M231" s="21"/>
    </row>
    <row r="232" spans="2:13" x14ac:dyDescent="0.2">
      <c r="B232" s="28"/>
      <c r="C232" s="45"/>
      <c r="D232" s="46"/>
      <c r="E232" s="47"/>
      <c r="F232" s="46"/>
      <c r="G232" s="48"/>
      <c r="H232" s="11" t="str">
        <f t="shared" si="9"/>
        <v/>
      </c>
      <c r="I232" s="11" t="str">
        <f t="shared" si="10"/>
        <v/>
      </c>
      <c r="J232" s="12" t="str">
        <f t="shared" si="11"/>
        <v/>
      </c>
      <c r="K232" s="24"/>
      <c r="L232" s="24"/>
      <c r="M232" s="21"/>
    </row>
    <row r="233" spans="2:13" x14ac:dyDescent="0.2">
      <c r="B233" s="28"/>
      <c r="C233" s="45"/>
      <c r="D233" s="46"/>
      <c r="E233" s="47"/>
      <c r="F233" s="46"/>
      <c r="G233" s="48"/>
      <c r="H233" s="11" t="str">
        <f t="shared" si="9"/>
        <v/>
      </c>
      <c r="I233" s="11" t="str">
        <f t="shared" si="10"/>
        <v/>
      </c>
      <c r="J233" s="12" t="str">
        <f t="shared" si="11"/>
        <v/>
      </c>
      <c r="K233" s="24"/>
      <c r="L233" s="24"/>
      <c r="M233" s="21"/>
    </row>
    <row r="234" spans="2:13" x14ac:dyDescent="0.2">
      <c r="B234" s="28"/>
      <c r="C234" s="45"/>
      <c r="D234" s="46"/>
      <c r="E234" s="47"/>
      <c r="F234" s="46"/>
      <c r="G234" s="48"/>
      <c r="H234" s="11" t="str">
        <f t="shared" si="9"/>
        <v/>
      </c>
      <c r="I234" s="11" t="str">
        <f t="shared" si="10"/>
        <v/>
      </c>
      <c r="J234" s="12" t="str">
        <f t="shared" si="11"/>
        <v/>
      </c>
      <c r="K234" s="24"/>
      <c r="L234" s="24"/>
      <c r="M234" s="21"/>
    </row>
    <row r="235" spans="2:13" x14ac:dyDescent="0.2">
      <c r="B235" s="28"/>
      <c r="C235" s="45"/>
      <c r="D235" s="46"/>
      <c r="E235" s="47"/>
      <c r="F235" s="46"/>
      <c r="G235" s="48"/>
      <c r="H235" s="11" t="str">
        <f t="shared" si="9"/>
        <v/>
      </c>
      <c r="I235" s="11" t="str">
        <f t="shared" si="10"/>
        <v/>
      </c>
      <c r="J235" s="12" t="str">
        <f t="shared" si="11"/>
        <v/>
      </c>
      <c r="K235" s="24"/>
      <c r="L235" s="24"/>
      <c r="M235" s="21"/>
    </row>
    <row r="236" spans="2:13" x14ac:dyDescent="0.2">
      <c r="B236" s="28"/>
      <c r="C236" s="45"/>
      <c r="D236" s="46"/>
      <c r="E236" s="47"/>
      <c r="F236" s="46"/>
      <c r="G236" s="48"/>
      <c r="H236" s="11" t="str">
        <f t="shared" si="9"/>
        <v/>
      </c>
      <c r="I236" s="11" t="str">
        <f t="shared" si="10"/>
        <v/>
      </c>
      <c r="J236" s="12" t="str">
        <f t="shared" si="11"/>
        <v/>
      </c>
      <c r="K236" s="24"/>
      <c r="L236" s="24"/>
      <c r="M236" s="21"/>
    </row>
    <row r="237" spans="2:13" x14ac:dyDescent="0.2">
      <c r="B237" s="28"/>
      <c r="C237" s="45"/>
      <c r="D237" s="46"/>
      <c r="E237" s="47"/>
      <c r="F237" s="46"/>
      <c r="G237" s="48"/>
      <c r="H237" s="11" t="str">
        <f t="shared" si="9"/>
        <v/>
      </c>
      <c r="I237" s="11" t="str">
        <f t="shared" si="10"/>
        <v/>
      </c>
      <c r="J237" s="12" t="str">
        <f t="shared" si="11"/>
        <v/>
      </c>
      <c r="K237" s="24"/>
      <c r="L237" s="24"/>
      <c r="M237" s="21"/>
    </row>
    <row r="238" spans="2:13" x14ac:dyDescent="0.2">
      <c r="B238" s="28"/>
      <c r="C238" s="45"/>
      <c r="D238" s="46"/>
      <c r="E238" s="47"/>
      <c r="F238" s="46"/>
      <c r="G238" s="48"/>
      <c r="H238" s="11" t="str">
        <f t="shared" si="9"/>
        <v/>
      </c>
      <c r="I238" s="11" t="str">
        <f t="shared" si="10"/>
        <v/>
      </c>
      <c r="J238" s="12" t="str">
        <f t="shared" si="11"/>
        <v/>
      </c>
      <c r="K238" s="24"/>
      <c r="L238" s="24"/>
      <c r="M238" s="21"/>
    </row>
    <row r="239" spans="2:13" x14ac:dyDescent="0.2">
      <c r="B239" s="28"/>
      <c r="C239" s="45"/>
      <c r="D239" s="46"/>
      <c r="E239" s="47"/>
      <c r="F239" s="46"/>
      <c r="G239" s="48"/>
      <c r="H239" s="11" t="str">
        <f t="shared" si="9"/>
        <v/>
      </c>
      <c r="I239" s="11" t="str">
        <f t="shared" si="10"/>
        <v/>
      </c>
      <c r="J239" s="12" t="str">
        <f t="shared" si="11"/>
        <v/>
      </c>
      <c r="K239" s="24"/>
      <c r="L239" s="24"/>
      <c r="M239" s="21"/>
    </row>
    <row r="240" spans="2:13" x14ac:dyDescent="0.2">
      <c r="B240" s="28"/>
      <c r="C240" s="45"/>
      <c r="D240" s="46"/>
      <c r="E240" s="47"/>
      <c r="F240" s="46"/>
      <c r="G240" s="48"/>
      <c r="H240" s="11" t="str">
        <f t="shared" si="9"/>
        <v/>
      </c>
      <c r="I240" s="11" t="str">
        <f t="shared" si="10"/>
        <v/>
      </c>
      <c r="J240" s="12" t="str">
        <f t="shared" si="11"/>
        <v/>
      </c>
      <c r="K240" s="24"/>
      <c r="L240" s="24"/>
      <c r="M240" s="21"/>
    </row>
    <row r="241" spans="2:13" x14ac:dyDescent="0.2">
      <c r="B241" s="28"/>
      <c r="C241" s="45"/>
      <c r="D241" s="46"/>
      <c r="E241" s="47"/>
      <c r="F241" s="46"/>
      <c r="G241" s="48"/>
      <c r="H241" s="11" t="str">
        <f t="shared" si="9"/>
        <v/>
      </c>
      <c r="I241" s="11" t="str">
        <f t="shared" si="10"/>
        <v/>
      </c>
      <c r="J241" s="12" t="str">
        <f t="shared" si="11"/>
        <v/>
      </c>
      <c r="K241" s="24"/>
      <c r="L241" s="24"/>
      <c r="M241" s="21"/>
    </row>
    <row r="242" spans="2:13" x14ac:dyDescent="0.2">
      <c r="B242" s="28"/>
      <c r="C242" s="45"/>
      <c r="D242" s="46"/>
      <c r="E242" s="47"/>
      <c r="F242" s="46"/>
      <c r="G242" s="48"/>
      <c r="H242" s="11" t="str">
        <f t="shared" si="9"/>
        <v/>
      </c>
      <c r="I242" s="11" t="str">
        <f t="shared" si="10"/>
        <v/>
      </c>
      <c r="J242" s="12" t="str">
        <f t="shared" si="11"/>
        <v/>
      </c>
      <c r="K242" s="24"/>
      <c r="L242" s="24"/>
      <c r="M242" s="21"/>
    </row>
    <row r="243" spans="2:13" x14ac:dyDescent="0.2">
      <c r="B243" s="28"/>
      <c r="C243" s="45"/>
      <c r="D243" s="46"/>
      <c r="E243" s="47"/>
      <c r="F243" s="46"/>
      <c r="G243" s="48"/>
      <c r="H243" s="11" t="str">
        <f t="shared" si="9"/>
        <v/>
      </c>
      <c r="I243" s="11" t="str">
        <f t="shared" si="10"/>
        <v/>
      </c>
      <c r="J243" s="12" t="str">
        <f t="shared" si="11"/>
        <v/>
      </c>
      <c r="K243" s="24"/>
      <c r="L243" s="24"/>
      <c r="M243" s="21"/>
    </row>
    <row r="244" spans="2:13" x14ac:dyDescent="0.2">
      <c r="B244" s="28"/>
      <c r="C244" s="45"/>
      <c r="D244" s="46"/>
      <c r="E244" s="47"/>
      <c r="F244" s="46"/>
      <c r="G244" s="48"/>
      <c r="H244" s="11" t="str">
        <f t="shared" si="9"/>
        <v/>
      </c>
      <c r="I244" s="11" t="str">
        <f t="shared" si="10"/>
        <v/>
      </c>
      <c r="J244" s="12" t="str">
        <f t="shared" si="11"/>
        <v/>
      </c>
      <c r="K244" s="24"/>
      <c r="L244" s="24"/>
      <c r="M244" s="21"/>
    </row>
    <row r="245" spans="2:13" x14ac:dyDescent="0.2">
      <c r="B245" s="28"/>
      <c r="C245" s="45"/>
      <c r="D245" s="46"/>
      <c r="E245" s="47"/>
      <c r="F245" s="46"/>
      <c r="G245" s="48"/>
      <c r="H245" s="11" t="str">
        <f t="shared" si="9"/>
        <v/>
      </c>
      <c r="I245" s="11" t="str">
        <f t="shared" si="10"/>
        <v/>
      </c>
      <c r="J245" s="12" t="str">
        <f t="shared" si="11"/>
        <v/>
      </c>
      <c r="K245" s="24"/>
      <c r="L245" s="24"/>
      <c r="M245" s="21"/>
    </row>
    <row r="246" spans="2:13" x14ac:dyDescent="0.2">
      <c r="B246" s="28"/>
      <c r="C246" s="45"/>
      <c r="D246" s="46"/>
      <c r="E246" s="47"/>
      <c r="F246" s="46"/>
      <c r="G246" s="48"/>
      <c r="H246" s="11" t="str">
        <f t="shared" si="9"/>
        <v/>
      </c>
      <c r="I246" s="11" t="str">
        <f t="shared" si="10"/>
        <v/>
      </c>
      <c r="J246" s="12" t="str">
        <f t="shared" si="11"/>
        <v/>
      </c>
      <c r="K246" s="24"/>
      <c r="L246" s="24"/>
      <c r="M246" s="21"/>
    </row>
    <row r="247" spans="2:13" x14ac:dyDescent="0.2">
      <c r="B247" s="28"/>
      <c r="C247" s="45"/>
      <c r="D247" s="46"/>
      <c r="E247" s="47"/>
      <c r="F247" s="46"/>
      <c r="G247" s="48"/>
      <c r="H247" s="11" t="str">
        <f t="shared" si="9"/>
        <v/>
      </c>
      <c r="I247" s="11" t="str">
        <f t="shared" si="10"/>
        <v/>
      </c>
      <c r="J247" s="12" t="str">
        <f t="shared" si="11"/>
        <v/>
      </c>
      <c r="K247" s="24"/>
      <c r="L247" s="24"/>
      <c r="M247" s="21"/>
    </row>
    <row r="248" spans="2:13" x14ac:dyDescent="0.2">
      <c r="B248" s="28"/>
      <c r="C248" s="45"/>
      <c r="D248" s="46"/>
      <c r="E248" s="47"/>
      <c r="F248" s="46"/>
      <c r="G248" s="48"/>
      <c r="H248" s="11" t="str">
        <f t="shared" si="9"/>
        <v/>
      </c>
      <c r="I248" s="11" t="str">
        <f t="shared" si="10"/>
        <v/>
      </c>
      <c r="J248" s="12" t="str">
        <f t="shared" si="11"/>
        <v/>
      </c>
      <c r="K248" s="24"/>
      <c r="L248" s="24"/>
      <c r="M248" s="21"/>
    </row>
    <row r="249" spans="2:13" x14ac:dyDescent="0.2">
      <c r="B249" s="28"/>
      <c r="C249" s="45"/>
      <c r="D249" s="46"/>
      <c r="E249" s="47"/>
      <c r="F249" s="46"/>
      <c r="G249" s="48"/>
      <c r="H249" s="11" t="str">
        <f t="shared" si="9"/>
        <v/>
      </c>
      <c r="I249" s="11" t="str">
        <f t="shared" si="10"/>
        <v/>
      </c>
      <c r="J249" s="12" t="str">
        <f t="shared" si="11"/>
        <v/>
      </c>
      <c r="K249" s="24"/>
      <c r="L249" s="24"/>
      <c r="M249" s="21"/>
    </row>
    <row r="250" spans="2:13" x14ac:dyDescent="0.2">
      <c r="B250" s="28"/>
      <c r="C250" s="45"/>
      <c r="D250" s="46"/>
      <c r="E250" s="47"/>
      <c r="F250" s="46"/>
      <c r="G250" s="48"/>
      <c r="H250" s="11" t="str">
        <f t="shared" si="9"/>
        <v/>
      </c>
      <c r="I250" s="11" t="str">
        <f t="shared" si="10"/>
        <v/>
      </c>
      <c r="J250" s="12" t="str">
        <f t="shared" si="11"/>
        <v/>
      </c>
      <c r="K250" s="24"/>
      <c r="L250" s="24"/>
      <c r="M250" s="21"/>
    </row>
    <row r="251" spans="2:13" x14ac:dyDescent="0.2">
      <c r="B251" s="28"/>
      <c r="C251" s="45"/>
      <c r="D251" s="46"/>
      <c r="E251" s="47"/>
      <c r="F251" s="46"/>
      <c r="G251" s="48"/>
      <c r="H251" s="11" t="str">
        <f t="shared" si="9"/>
        <v/>
      </c>
      <c r="I251" s="11" t="str">
        <f t="shared" si="10"/>
        <v/>
      </c>
      <c r="J251" s="12" t="str">
        <f t="shared" si="11"/>
        <v/>
      </c>
      <c r="K251" s="24"/>
      <c r="L251" s="24"/>
      <c r="M251" s="21"/>
    </row>
    <row r="252" spans="2:13" x14ac:dyDescent="0.2">
      <c r="B252" s="28"/>
      <c r="C252" s="45"/>
      <c r="D252" s="46"/>
      <c r="E252" s="47"/>
      <c r="F252" s="46"/>
      <c r="G252" s="48"/>
      <c r="H252" s="11" t="str">
        <f t="shared" si="9"/>
        <v/>
      </c>
      <c r="I252" s="11" t="str">
        <f t="shared" si="10"/>
        <v/>
      </c>
      <c r="J252" s="12" t="str">
        <f t="shared" si="11"/>
        <v/>
      </c>
      <c r="K252" s="24"/>
      <c r="L252" s="24"/>
      <c r="M252" s="21"/>
    </row>
    <row r="253" spans="2:13" x14ac:dyDescent="0.2">
      <c r="B253" s="28"/>
      <c r="C253" s="45"/>
      <c r="D253" s="46"/>
      <c r="E253" s="47"/>
      <c r="F253" s="46"/>
      <c r="G253" s="48"/>
      <c r="H253" s="11" t="str">
        <f t="shared" si="9"/>
        <v/>
      </c>
      <c r="I253" s="11" t="str">
        <f t="shared" si="10"/>
        <v/>
      </c>
      <c r="J253" s="12" t="str">
        <f t="shared" si="11"/>
        <v/>
      </c>
      <c r="K253" s="24"/>
      <c r="L253" s="24"/>
      <c r="M253" s="21"/>
    </row>
    <row r="254" spans="2:13" x14ac:dyDescent="0.2">
      <c r="B254" s="28"/>
      <c r="C254" s="45"/>
      <c r="D254" s="46"/>
      <c r="E254" s="47"/>
      <c r="F254" s="46"/>
      <c r="G254" s="48"/>
      <c r="H254" s="11" t="str">
        <f t="shared" si="9"/>
        <v/>
      </c>
      <c r="I254" s="11" t="str">
        <f t="shared" si="10"/>
        <v/>
      </c>
      <c r="J254" s="12" t="str">
        <f t="shared" si="11"/>
        <v/>
      </c>
      <c r="K254" s="24"/>
      <c r="L254" s="24"/>
      <c r="M254" s="21"/>
    </row>
    <row r="255" spans="2:13" x14ac:dyDescent="0.2">
      <c r="B255" s="28"/>
      <c r="C255" s="45"/>
      <c r="D255" s="46"/>
      <c r="E255" s="47"/>
      <c r="F255" s="46"/>
      <c r="G255" s="48"/>
      <c r="H255" s="11" t="str">
        <f t="shared" si="9"/>
        <v/>
      </c>
      <c r="I255" s="11" t="str">
        <f t="shared" si="10"/>
        <v/>
      </c>
      <c r="J255" s="12" t="str">
        <f t="shared" si="11"/>
        <v/>
      </c>
      <c r="K255" s="24"/>
      <c r="L255" s="24"/>
      <c r="M255" s="21"/>
    </row>
    <row r="256" spans="2:13" x14ac:dyDescent="0.2">
      <c r="B256" s="28"/>
      <c r="C256" s="45"/>
      <c r="D256" s="46"/>
      <c r="E256" s="47"/>
      <c r="F256" s="46"/>
      <c r="G256" s="48"/>
      <c r="H256" s="11" t="str">
        <f t="shared" si="9"/>
        <v/>
      </c>
      <c r="I256" s="11" t="str">
        <f t="shared" si="10"/>
        <v/>
      </c>
      <c r="J256" s="12" t="str">
        <f t="shared" si="11"/>
        <v/>
      </c>
      <c r="K256" s="24"/>
      <c r="L256" s="24"/>
      <c r="M256" s="21"/>
    </row>
    <row r="257" spans="2:13" x14ac:dyDescent="0.2">
      <c r="B257" s="28"/>
      <c r="C257" s="45"/>
      <c r="D257" s="46"/>
      <c r="E257" s="47"/>
      <c r="F257" s="46"/>
      <c r="G257" s="48"/>
      <c r="H257" s="11" t="str">
        <f t="shared" si="9"/>
        <v/>
      </c>
      <c r="I257" s="11" t="str">
        <f t="shared" si="10"/>
        <v/>
      </c>
      <c r="J257" s="12" t="str">
        <f t="shared" si="11"/>
        <v/>
      </c>
      <c r="K257" s="24"/>
      <c r="L257" s="24"/>
      <c r="M257" s="21"/>
    </row>
    <row r="258" spans="2:13" x14ac:dyDescent="0.2">
      <c r="B258" s="28"/>
      <c r="C258" s="45"/>
      <c r="D258" s="46"/>
      <c r="E258" s="47"/>
      <c r="F258" s="46"/>
      <c r="G258" s="48"/>
      <c r="H258" s="11" t="str">
        <f t="shared" si="9"/>
        <v/>
      </c>
      <c r="I258" s="11" t="str">
        <f t="shared" si="10"/>
        <v/>
      </c>
      <c r="J258" s="12" t="str">
        <f t="shared" si="11"/>
        <v/>
      </c>
      <c r="K258" s="24"/>
      <c r="L258" s="24"/>
      <c r="M258" s="21"/>
    </row>
    <row r="259" spans="2:13" x14ac:dyDescent="0.2">
      <c r="B259" s="28"/>
      <c r="C259" s="45"/>
      <c r="D259" s="46"/>
      <c r="E259" s="47"/>
      <c r="F259" s="46"/>
      <c r="G259" s="48"/>
      <c r="H259" s="11" t="str">
        <f t="shared" si="9"/>
        <v/>
      </c>
      <c r="I259" s="11" t="str">
        <f t="shared" si="10"/>
        <v/>
      </c>
      <c r="J259" s="12" t="str">
        <f t="shared" si="11"/>
        <v/>
      </c>
      <c r="K259" s="24"/>
      <c r="L259" s="24"/>
      <c r="M259" s="21"/>
    </row>
    <row r="260" spans="2:13" x14ac:dyDescent="0.2">
      <c r="B260" s="28"/>
      <c r="C260" s="45"/>
      <c r="D260" s="46"/>
      <c r="E260" s="47"/>
      <c r="F260" s="46"/>
      <c r="G260" s="48"/>
      <c r="H260" s="11" t="str">
        <f t="shared" si="9"/>
        <v/>
      </c>
      <c r="I260" s="11" t="str">
        <f t="shared" si="10"/>
        <v/>
      </c>
      <c r="J260" s="12" t="str">
        <f t="shared" si="11"/>
        <v/>
      </c>
      <c r="K260" s="24"/>
      <c r="L260" s="24"/>
      <c r="M260" s="21"/>
    </row>
    <row r="261" spans="2:13" x14ac:dyDescent="0.2">
      <c r="B261" s="28"/>
      <c r="C261" s="45"/>
      <c r="D261" s="46"/>
      <c r="E261" s="47"/>
      <c r="F261" s="46"/>
      <c r="G261" s="48"/>
      <c r="H261" s="11" t="str">
        <f t="shared" si="9"/>
        <v/>
      </c>
      <c r="I261" s="11" t="str">
        <f t="shared" si="10"/>
        <v/>
      </c>
      <c r="J261" s="12" t="str">
        <f t="shared" si="11"/>
        <v/>
      </c>
      <c r="K261" s="24"/>
      <c r="L261" s="24"/>
      <c r="M261" s="21"/>
    </row>
    <row r="262" spans="2:13" x14ac:dyDescent="0.2">
      <c r="B262" s="28"/>
      <c r="C262" s="45"/>
      <c r="D262" s="46"/>
      <c r="E262" s="47"/>
      <c r="F262" s="46"/>
      <c r="G262" s="48"/>
      <c r="H262" s="11" t="str">
        <f t="shared" si="9"/>
        <v/>
      </c>
      <c r="I262" s="11" t="str">
        <f t="shared" si="10"/>
        <v/>
      </c>
      <c r="J262" s="12" t="str">
        <f t="shared" si="11"/>
        <v/>
      </c>
      <c r="K262" s="24"/>
      <c r="L262" s="24"/>
      <c r="M262" s="21"/>
    </row>
    <row r="263" spans="2:13" x14ac:dyDescent="0.2">
      <c r="B263" s="28"/>
      <c r="C263" s="45"/>
      <c r="D263" s="46"/>
      <c r="E263" s="47"/>
      <c r="F263" s="46"/>
      <c r="G263" s="48"/>
      <c r="H263" s="11" t="str">
        <f t="shared" si="9"/>
        <v/>
      </c>
      <c r="I263" s="11" t="str">
        <f t="shared" si="10"/>
        <v/>
      </c>
      <c r="J263" s="12" t="str">
        <f t="shared" si="11"/>
        <v/>
      </c>
      <c r="K263" s="24"/>
      <c r="L263" s="24"/>
      <c r="M263" s="21"/>
    </row>
    <row r="264" spans="2:13" x14ac:dyDescent="0.2">
      <c r="B264" s="28"/>
      <c r="C264" s="45"/>
      <c r="D264" s="46"/>
      <c r="E264" s="47"/>
      <c r="F264" s="46"/>
      <c r="G264" s="48"/>
      <c r="H264" s="11" t="str">
        <f t="shared" si="9"/>
        <v/>
      </c>
      <c r="I264" s="11" t="str">
        <f t="shared" si="10"/>
        <v/>
      </c>
      <c r="J264" s="12" t="str">
        <f t="shared" si="11"/>
        <v/>
      </c>
      <c r="K264" s="24"/>
      <c r="L264" s="24"/>
      <c r="M264" s="21"/>
    </row>
    <row r="265" spans="2:13" x14ac:dyDescent="0.2">
      <c r="B265" s="28"/>
      <c r="C265" s="45"/>
      <c r="D265" s="46"/>
      <c r="E265" s="47"/>
      <c r="F265" s="46"/>
      <c r="G265" s="48"/>
      <c r="H265" s="11" t="str">
        <f t="shared" si="9"/>
        <v/>
      </c>
      <c r="I265" s="11" t="str">
        <f t="shared" si="10"/>
        <v/>
      </c>
      <c r="J265" s="12" t="str">
        <f t="shared" si="11"/>
        <v/>
      </c>
      <c r="K265" s="24"/>
      <c r="L265" s="24"/>
      <c r="M265" s="21"/>
    </row>
    <row r="266" spans="2:13" x14ac:dyDescent="0.2">
      <c r="B266" s="28"/>
      <c r="C266" s="45"/>
      <c r="D266" s="46"/>
      <c r="E266" s="47"/>
      <c r="F266" s="46"/>
      <c r="G266" s="48"/>
      <c r="H266" s="11" t="str">
        <f t="shared" si="9"/>
        <v/>
      </c>
      <c r="I266" s="11" t="str">
        <f t="shared" si="10"/>
        <v/>
      </c>
      <c r="J266" s="12" t="str">
        <f t="shared" si="11"/>
        <v/>
      </c>
      <c r="K266" s="24"/>
      <c r="L266" s="24"/>
      <c r="M266" s="21"/>
    </row>
    <row r="267" spans="2:13" ht="13.5" thickBot="1" x14ac:dyDescent="0.25">
      <c r="B267" s="28"/>
      <c r="C267" s="49"/>
      <c r="D267" s="50"/>
      <c r="E267" s="51"/>
      <c r="F267" s="46"/>
      <c r="G267" s="52"/>
      <c r="H267" s="13" t="str">
        <f t="shared" si="9"/>
        <v/>
      </c>
      <c r="I267" s="13" t="str">
        <f t="shared" si="10"/>
        <v/>
      </c>
      <c r="J267" s="14" t="str">
        <f t="shared" si="11"/>
        <v/>
      </c>
      <c r="K267" s="24"/>
      <c r="L267" s="24"/>
      <c r="M267" s="21"/>
    </row>
    <row r="268" spans="2:13" ht="13.5" thickBot="1" x14ac:dyDescent="0.25">
      <c r="B268" s="26"/>
      <c r="C268" s="25"/>
      <c r="D268" s="25"/>
      <c r="E268" s="25"/>
      <c r="F268" s="25"/>
      <c r="G268" s="27"/>
      <c r="H268" s="27"/>
      <c r="I268" s="27"/>
      <c r="J268" s="25"/>
      <c r="K268" s="25"/>
      <c r="L268" s="25"/>
      <c r="M268" s="23"/>
    </row>
  </sheetData>
  <mergeCells count="26">
    <mergeCell ref="C26:G27"/>
    <mergeCell ref="C20:F20"/>
    <mergeCell ref="J21:J22"/>
    <mergeCell ref="C3:L3"/>
    <mergeCell ref="J5:L9"/>
    <mergeCell ref="C5:F5"/>
    <mergeCell ref="C9:F9"/>
    <mergeCell ref="C10:G11"/>
    <mergeCell ref="C13:F13"/>
    <mergeCell ref="C21:G22"/>
    <mergeCell ref="C6:F6"/>
    <mergeCell ref="C7:F7"/>
    <mergeCell ref="K21:L22"/>
    <mergeCell ref="C14:F14"/>
    <mergeCell ref="C15:F15"/>
    <mergeCell ref="C16:F16"/>
    <mergeCell ref="K12:K14"/>
    <mergeCell ref="L12:L14"/>
    <mergeCell ref="J15:J17"/>
    <mergeCell ref="K15:K17"/>
    <mergeCell ref="L15:L17"/>
    <mergeCell ref="C8:F8"/>
    <mergeCell ref="C18:F18"/>
    <mergeCell ref="C19:F19"/>
    <mergeCell ref="C17:F17"/>
    <mergeCell ref="J12:J14"/>
  </mergeCells>
  <dataValidations count="1">
    <dataValidation type="list" allowBlank="1" showErrorMessage="1" errorTitle="BLOCK_TYPE" error="Allowed values:_x000a_NORMAL_x000a_IMMEDIATE" sqref="F29:F267">
      <formula1>$AJ$4:$AJ$5</formula1>
    </dataValidation>
  </dataValidations>
  <pageMargins left="0.74803149606299213" right="0.74803149606299213" top="0.98425196850393704" bottom="0.98425196850393704" header="0.51181102362204722" footer="0.51181102362204722"/>
  <pageSetup paperSize="9" scale="21"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README</vt:lpstr>
      <vt:lpstr>AURIX_FEE_Retention</vt:lpstr>
    </vt:vector>
  </TitlesOfParts>
  <Company>Infineon Technologies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Flash Retention Calculator for FEE</dc:title>
  <dc:creator>Syassen Joerg (AIM MC D SCE3)</dc:creator>
  <dc:description>Version 0.2</dc:description>
  <cp:lastModifiedBy>Channaveerasetty Vinay (IFIN ATV SW LLD2)</cp:lastModifiedBy>
  <cp:lastPrinted>2011-12-02T11:53:54Z</cp:lastPrinted>
  <dcterms:created xsi:type="dcterms:W3CDTF">2006-08-28T13:16:05Z</dcterms:created>
  <dcterms:modified xsi:type="dcterms:W3CDTF">2015-10-14T03:26:17Z</dcterms:modified>
</cp:coreProperties>
</file>