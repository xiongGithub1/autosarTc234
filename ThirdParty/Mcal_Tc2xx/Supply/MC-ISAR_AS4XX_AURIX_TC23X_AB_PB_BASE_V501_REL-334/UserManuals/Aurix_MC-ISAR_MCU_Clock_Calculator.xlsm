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375" windowWidth="10140" windowHeight="9510"/>
  </bookViews>
  <sheets>
    <sheet name="INFO" sheetId="3" r:id="rId1"/>
    <sheet name="CALCULATOR" sheetId="1" r:id="rId2"/>
    <sheet name="RESULTS" sheetId="2" r:id="rId3"/>
  </sheets>
  <functionGroups builtInGroupCount="17"/>
  <definedNames>
    <definedName name="Fosc">CALCULATOR!$B$1</definedName>
    <definedName name="Fpll">CALCULATOR!$B$2</definedName>
    <definedName name="N">CALCULATOR!$B$6</definedName>
    <definedName name="P">CALCULATOR!$B$5</definedName>
    <definedName name="PDIV">CALCULATOR!$B$5</definedName>
  </definedNames>
  <calcPr calcId="145621"/>
</workbook>
</file>

<file path=xl/comments1.xml><?xml version="1.0" encoding="utf-8"?>
<comments xmlns="http://schemas.openxmlformats.org/spreadsheetml/2006/main">
  <authors>
    <author>Mundhra Karan (IFIN ATV SW)</author>
    <author>sry3kor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Applicable for Normal Mode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Applicable for Normal Mode only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Applicable for Normal Mode only</t>
        </r>
      </text>
    </comment>
    <comment ref="B8" authorId="1">
      <text>
        <r>
          <rPr>
            <sz val="8"/>
            <color indexed="81"/>
            <rFont val="Tahoma"/>
            <family val="2"/>
          </rPr>
          <t xml:space="preserve">Deviation exists if </t>
        </r>
        <r>
          <rPr>
            <b/>
            <sz val="8"/>
            <color indexed="81"/>
            <rFont val="Tahoma"/>
            <family val="2"/>
          </rPr>
          <t>RED</t>
        </r>
        <r>
          <rPr>
            <sz val="8"/>
            <color indexed="81"/>
            <rFont val="Tahoma"/>
            <family val="2"/>
          </rPr>
          <t xml:space="preserve">
(Conditionally formatted)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 xml:space="preserve">Applicable for Pre-Scale Mode only
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ERAY PLL output should be in range of 20Mhz to 
160MHz. Only NORMAL mode supported.
Exception: TC233LC-24F133F : range 20 MHz to 80 MHz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Applicable for Normal Mode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Applicable for Normal Mode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Applicable for Normal Mode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>
      <text>
        <r>
          <rPr>
            <b/>
            <sz val="9"/>
            <color indexed="81"/>
            <rFont val="Tahoma"/>
            <family val="2"/>
          </rPr>
          <t>Applicable for Normal Mode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Kumar Ashish (IFIN ATV DEV STC)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Limited PLL2 Frequency &lt;= 100MHz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Limited ERAY Frequency &lt;= 100MHz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Limited Ethernet Frequency &lt;= 100MHz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>
      <text>
        <r>
          <rPr>
            <b/>
            <sz val="9"/>
            <color indexed="81"/>
            <rFont val="Tahoma"/>
            <family val="2"/>
          </rPr>
          <t>Limited ERAYPLL2 Frequency &lt;= 100MHz</t>
        </r>
      </text>
    </comment>
  </commentList>
</comments>
</file>

<file path=xl/sharedStrings.xml><?xml version="1.0" encoding="utf-8"?>
<sst xmlns="http://schemas.openxmlformats.org/spreadsheetml/2006/main" count="148" uniqueCount="126">
  <si>
    <t>Fmax</t>
  </si>
  <si>
    <t>PDIV</t>
  </si>
  <si>
    <t>NDIV</t>
  </si>
  <si>
    <t>K2DIV</t>
  </si>
  <si>
    <t>Fosc (Hz)</t>
  </si>
  <si>
    <t>Fpll (Hz)</t>
  </si>
  <si>
    <t>Fpll Error (Hz)</t>
  </si>
  <si>
    <t>Fspb</t>
  </si>
  <si>
    <t>Ffsi</t>
  </si>
  <si>
    <t>Fsri</t>
  </si>
  <si>
    <t>Select (Y/N)</t>
  </si>
  <si>
    <t>List of frequencies satisfying all the divider constraints</t>
  </si>
  <si>
    <t>K1DIV</t>
  </si>
  <si>
    <t>McuPllPDivider</t>
  </si>
  <si>
    <t>McuPllNDivider</t>
  </si>
  <si>
    <t>McuPllK1Divider</t>
  </si>
  <si>
    <t>McuPllK2Divider</t>
  </si>
  <si>
    <t>McuK2DivSteps</t>
  </si>
  <si>
    <t>McuClockSettingMode</t>
  </si>
  <si>
    <t>McuCPU0Divider</t>
  </si>
  <si>
    <t>McuSRIDivider</t>
  </si>
  <si>
    <t>McuSPBDivider</t>
  </si>
  <si>
    <t>McuFSIDivider</t>
  </si>
  <si>
    <t>McuGTMDivider</t>
  </si>
  <si>
    <t>McuSTMDivider</t>
  </si>
  <si>
    <t>McuClockSPBFrequency</t>
  </si>
  <si>
    <t>McuClockFSIFrequency</t>
  </si>
  <si>
    <t>McuClockCPU0Frequency</t>
  </si>
  <si>
    <t>McuClockMAXFrequency</t>
  </si>
  <si>
    <t>McuClockGTMFrequency</t>
  </si>
  <si>
    <t>McuClockSRIFrequency</t>
  </si>
  <si>
    <t>STEP - 1:  Click on "Clear table"</t>
  </si>
  <si>
    <t>STEP - 8:  Copy paste the contents (in same order) to Tresos clock reference point page</t>
  </si>
  <si>
    <t>INSTRUCTIONS FOR USE</t>
  </si>
  <si>
    <t>STEP - 7:  Goto sheet "RESULTS".  Incase of error, you will be turned back to this page.</t>
  </si>
  <si>
    <t>STEP - 2:  Please donot add/modify/delete any cells anywhere and at anytime.</t>
  </si>
  <si>
    <t>STEP - 4:  Click on "Calculate" button to compute the clock parameters</t>
  </si>
  <si>
    <t>STEP - 3:  Please enter the desired values in the blue fields (Fosc, Fpll and mode).</t>
  </si>
  <si>
    <t>STEP - 5:  Look for "Success !" message in the Notification window</t>
  </si>
  <si>
    <t>STEP - 6:  In the generated frequency listing, mark only one 'Y' against the frequency set of your choice.</t>
  </si>
  <si>
    <t>Fcpu0</t>
  </si>
  <si>
    <t>Fstm</t>
  </si>
  <si>
    <t>Fgtm</t>
  </si>
  <si>
    <t>CLOCK MODE</t>
  </si>
  <si>
    <t>McuFSI2Divider</t>
  </si>
  <si>
    <t>McuBBBDivider</t>
  </si>
  <si>
    <t>McuClockFSI2Frequency</t>
  </si>
  <si>
    <t>Ffsi2</t>
  </si>
  <si>
    <t>Fbbb</t>
  </si>
  <si>
    <t>NA</t>
  </si>
  <si>
    <t>TOOL TO CALCULATE CLOCK FREQUENCIES &amp; CLOCK DIVIDERS.</t>
  </si>
  <si>
    <t>Revision History</t>
  </si>
  <si>
    <t>Sl No</t>
  </si>
  <si>
    <t>Version</t>
  </si>
  <si>
    <t>Date</t>
  </si>
  <si>
    <t>Author</t>
  </si>
  <si>
    <t>Changes</t>
  </si>
  <si>
    <t>DIVIDER VALUES</t>
  </si>
  <si>
    <t>CLOCK FREQUENCIES</t>
  </si>
  <si>
    <t>PLL &amp; CLOCK CONFIGURATION TABLE</t>
  </si>
  <si>
    <t>PLL SETTINGS</t>
  </si>
  <si>
    <t>SET 1</t>
  </si>
  <si>
    <t>SET 2</t>
  </si>
  <si>
    <t>SET 3</t>
  </si>
  <si>
    <t>SET 4</t>
  </si>
  <si>
    <t>SET 5</t>
  </si>
  <si>
    <t>SET 6</t>
  </si>
  <si>
    <t>SET 7</t>
  </si>
  <si>
    <t>SET 8</t>
  </si>
  <si>
    <t>SET 9</t>
  </si>
  <si>
    <t>Fbaud1</t>
  </si>
  <si>
    <t>Fbaud2</t>
  </si>
  <si>
    <t>Fcan</t>
  </si>
  <si>
    <t>Fasclinf</t>
  </si>
  <si>
    <t>Fasclins</t>
  </si>
  <si>
    <t>Select (Y/N)?</t>
  </si>
  <si>
    <t>CLOCK</t>
  </si>
  <si>
    <t>McuMaxDivider</t>
  </si>
  <si>
    <t>McuBAUD1Divider</t>
  </si>
  <si>
    <t>McuBAUD2Divider</t>
  </si>
  <si>
    <t>McuCANDivider</t>
  </si>
  <si>
    <t>McuASCLINFDivider</t>
  </si>
  <si>
    <t>McuASCLINSDivider</t>
  </si>
  <si>
    <t>McuPllK3Divider</t>
  </si>
  <si>
    <t>McuClockSTMFrequency</t>
  </si>
  <si>
    <t>McuClockBBBFrequency</t>
  </si>
  <si>
    <t>McuClockBAUD1Frequency</t>
  </si>
  <si>
    <t>McuClockCANFrequency</t>
  </si>
  <si>
    <t>McuClockASCLINSFrequency</t>
  </si>
  <si>
    <t>McuClockASCLINFFrequency</t>
  </si>
  <si>
    <t>McuClockReferencePointFrequency</t>
  </si>
  <si>
    <t>McuClockReferencePoint2Frequency</t>
  </si>
  <si>
    <t>PROCESSOR</t>
  </si>
  <si>
    <t>Ashish K</t>
  </si>
  <si>
    <t>McuClockBAUD2Frequency</t>
  </si>
  <si>
    <t>0.0.1</t>
  </si>
  <si>
    <t>Support for EP platform</t>
  </si>
  <si>
    <t>Feraypll (Hz)</t>
  </si>
  <si>
    <t>ERAYPDIV</t>
  </si>
  <si>
    <t>ERAYNDIV</t>
  </si>
  <si>
    <t>ERAYK2DIV</t>
  </si>
  <si>
    <t>Feraypll Error (Hz)</t>
  </si>
  <si>
    <t>ERAYPLL &amp; CLOCK CONFIGURATION TABLE</t>
  </si>
  <si>
    <t>ERAY PLL SETTINGS</t>
  </si>
  <si>
    <t>McuErayPllPDivider</t>
  </si>
  <si>
    <t>McuErayDivider</t>
  </si>
  <si>
    <t>McuClockErayFrequency</t>
  </si>
  <si>
    <t>McuErayPllNDivider</t>
  </si>
  <si>
    <t>McuETHDivider</t>
  </si>
  <si>
    <t>McuETHFrequency</t>
  </si>
  <si>
    <t>McuErayPllK2Divider</t>
  </si>
  <si>
    <t>McuErayPllK3Divider</t>
  </si>
  <si>
    <t xml:space="preserve">McuClockErayPllFrequency </t>
  </si>
  <si>
    <t>McuClockErayPll2Frequency</t>
  </si>
  <si>
    <t>0.0.2</t>
  </si>
  <si>
    <t>AI00241840: Added support of ERAY PLL calculation
AI00244673 - MCU: Support for 8MHz oscillator; disable ERAY PLL</t>
  </si>
  <si>
    <t>0.0.3</t>
  </si>
  <si>
    <t>Srinivas Shenoy</t>
  </si>
  <si>
    <t>Fixed the variable initialization issue in Prescalar mode</t>
  </si>
  <si>
    <t>NORMAL</t>
  </si>
  <si>
    <t>N</t>
  </si>
  <si>
    <t>Success !</t>
  </si>
  <si>
    <t>TC23x</t>
  </si>
  <si>
    <t>0.0.4</t>
  </si>
  <si>
    <t>Merin Thomas</t>
  </si>
  <si>
    <t xml:space="preserve">Updated to fix JIRA 0000051100-341
1. Vco input frequency range check for Eray Pll is added in Eray parameter value calculations.
2. Corrected the comment for  Feraypll (Cell B10 of Calculator sheet)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</si>
</sst>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4" fillId="0" borderId="11" xfId="0" applyFont="1" applyBorder="1" applyProtection="1"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Protection="1"/>
    <xf numFmtId="0" fontId="3" fillId="0" borderId="9" xfId="0" applyFont="1" applyBorder="1" applyAlignment="1">
      <alignment horizontal="right"/>
    </xf>
    <xf numFmtId="0" fontId="3" fillId="0" borderId="21" xfId="0" applyFont="1" applyBorder="1" applyAlignment="1">
      <alignment horizontal="left"/>
    </xf>
    <xf numFmtId="0" fontId="7" fillId="0" borderId="11" xfId="0" applyFont="1" applyBorder="1" applyAlignment="1">
      <alignment horizontal="right"/>
    </xf>
    <xf numFmtId="0" fontId="7" fillId="0" borderId="14" xfId="0" applyFont="1" applyBorder="1" applyAlignment="1">
      <alignment horizontal="left"/>
    </xf>
    <xf numFmtId="0" fontId="3" fillId="0" borderId="11" xfId="0" applyFont="1" applyBorder="1" applyAlignment="1">
      <alignment horizontal="right"/>
    </xf>
    <xf numFmtId="0" fontId="3" fillId="0" borderId="14" xfId="0" applyFont="1" applyBorder="1" applyAlignment="1">
      <alignment horizontal="left"/>
    </xf>
    <xf numFmtId="0" fontId="7" fillId="0" borderId="12" xfId="0" applyFont="1" applyBorder="1" applyAlignment="1">
      <alignment horizontal="right"/>
    </xf>
    <xf numFmtId="0" fontId="7" fillId="0" borderId="15" xfId="0" applyFont="1" applyBorder="1" applyAlignment="1">
      <alignment horizontal="left"/>
    </xf>
    <xf numFmtId="0" fontId="0" fillId="3" borderId="2" xfId="0" applyFill="1" applyBorder="1" applyAlignment="1" applyProtection="1">
      <alignment horizontal="right"/>
      <protection locked="0"/>
    </xf>
    <xf numFmtId="4" fontId="0" fillId="3" borderId="2" xfId="0" applyNumberFormat="1" applyFill="1" applyBorder="1" applyAlignment="1" applyProtection="1">
      <alignment horizontal="right"/>
      <protection locked="0"/>
    </xf>
    <xf numFmtId="0" fontId="0" fillId="0" borderId="22" xfId="0" applyBorder="1" applyProtection="1">
      <protection locked="0"/>
    </xf>
    <xf numFmtId="0" fontId="0" fillId="3" borderId="23" xfId="0" applyFill="1" applyBorder="1" applyAlignment="1" applyProtection="1">
      <alignment horizontal="right"/>
      <protection locked="0"/>
    </xf>
    <xf numFmtId="0" fontId="0" fillId="0" borderId="9" xfId="0" applyBorder="1" applyProtection="1">
      <protection locked="0"/>
    </xf>
    <xf numFmtId="4" fontId="1" fillId="2" borderId="21" xfId="0" applyNumberFormat="1" applyFont="1" applyFill="1" applyBorder="1" applyProtection="1">
      <protection locked="0"/>
    </xf>
    <xf numFmtId="164" fontId="1" fillId="2" borderId="15" xfId="0" applyNumberFormat="1" applyFont="1" applyFill="1" applyBorder="1" applyAlignment="1" applyProtection="1">
      <alignment horizontal="center"/>
      <protection locked="0"/>
    </xf>
    <xf numFmtId="2" fontId="3" fillId="0" borderId="21" xfId="0" applyNumberFormat="1" applyFont="1" applyBorder="1" applyAlignment="1">
      <alignment horizontal="left"/>
    </xf>
    <xf numFmtId="2" fontId="3" fillId="0" borderId="14" xfId="0" applyNumberFormat="1" applyFont="1" applyBorder="1" applyAlignment="1">
      <alignment horizontal="left"/>
    </xf>
    <xf numFmtId="2" fontId="7" fillId="0" borderId="14" xfId="0" applyNumberFormat="1" applyFont="1" applyBorder="1" applyAlignment="1">
      <alignment horizontal="left"/>
    </xf>
    <xf numFmtId="0" fontId="0" fillId="0" borderId="24" xfId="0" applyBorder="1" applyAlignment="1">
      <alignment vertical="center"/>
    </xf>
    <xf numFmtId="15" fontId="0" fillId="0" borderId="24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7" fillId="0" borderId="0" xfId="0" applyFont="1" applyBorder="1" applyAlignment="1">
      <alignment horizontal="right"/>
    </xf>
    <xf numFmtId="2" fontId="7" fillId="0" borderId="0" xfId="0" applyNumberFormat="1" applyFont="1" applyBorder="1" applyAlignment="1">
      <alignment horizontal="left"/>
    </xf>
    <xf numFmtId="15" fontId="0" fillId="0" borderId="1" xfId="0" applyNumberFormat="1" applyBorder="1" applyAlignment="1">
      <alignment vertical="center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/>
    <xf numFmtId="0" fontId="0" fillId="0" borderId="0" xfId="0" applyBorder="1" applyProtection="1">
      <protection locked="0"/>
    </xf>
    <xf numFmtId="0" fontId="0" fillId="0" borderId="1" xfId="0" applyFont="1" applyBorder="1"/>
    <xf numFmtId="0" fontId="0" fillId="0" borderId="24" xfId="0" applyFont="1" applyBorder="1"/>
    <xf numFmtId="0" fontId="0" fillId="0" borderId="32" xfId="0" applyFont="1" applyBorder="1"/>
    <xf numFmtId="4" fontId="1" fillId="2" borderId="21" xfId="0" applyNumberFormat="1" applyFont="1" applyFill="1" applyBorder="1" applyAlignment="1" applyProtection="1">
      <alignment horizontal="center"/>
      <protection locked="0"/>
    </xf>
    <xf numFmtId="4" fontId="1" fillId="2" borderId="25" xfId="0" applyNumberFormat="1" applyFont="1" applyFill="1" applyBorder="1" applyAlignment="1" applyProtection="1">
      <alignment horizontal="center"/>
      <protection locked="0"/>
    </xf>
    <xf numFmtId="0" fontId="0" fillId="0" borderId="33" xfId="0" applyFont="1" applyBorder="1"/>
    <xf numFmtId="0" fontId="0" fillId="0" borderId="26" xfId="0" applyFont="1" applyBorder="1"/>
    <xf numFmtId="0" fontId="0" fillId="0" borderId="34" xfId="0" applyFont="1" applyBorder="1"/>
    <xf numFmtId="0" fontId="3" fillId="0" borderId="31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3" borderId="30" xfId="0" applyFont="1" applyFill="1" applyBorder="1" applyAlignment="1" applyProtection="1">
      <alignment horizontal="center" vertical="center"/>
      <protection locked="0"/>
    </xf>
    <xf numFmtId="0" fontId="3" fillId="3" borderId="27" xfId="0" applyFont="1" applyFill="1" applyBorder="1" applyAlignment="1" applyProtection="1">
      <alignment horizontal="center" vertical="center"/>
      <protection locked="0"/>
    </xf>
    <xf numFmtId="2" fontId="3" fillId="0" borderId="15" xfId="0" applyNumberFormat="1" applyFont="1" applyBorder="1" applyAlignment="1">
      <alignment horizontal="left"/>
    </xf>
    <xf numFmtId="0" fontId="3" fillId="0" borderId="35" xfId="0" applyFont="1" applyBorder="1" applyAlignment="1">
      <alignment horizontal="right"/>
    </xf>
    <xf numFmtId="0" fontId="7" fillId="0" borderId="26" xfId="0" applyFont="1" applyBorder="1" applyAlignment="1">
      <alignment horizontal="right"/>
    </xf>
    <xf numFmtId="0" fontId="7" fillId="0" borderId="36" xfId="0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1" xfId="0" applyFont="1" applyFill="1" applyBorder="1" applyAlignment="1" applyProtection="1">
      <alignment horizontal="right"/>
    </xf>
    <xf numFmtId="0" fontId="3" fillId="0" borderId="12" xfId="0" applyFont="1" applyFill="1" applyBorder="1" applyAlignment="1" applyProtection="1">
      <alignment horizontal="right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2" xfId="0" applyFont="1" applyBorder="1"/>
    <xf numFmtId="0" fontId="3" fillId="0" borderId="13" xfId="0" applyFont="1" applyBorder="1"/>
    <xf numFmtId="0" fontId="0" fillId="0" borderId="40" xfId="0" applyBorder="1" applyProtection="1">
      <protection locked="0"/>
    </xf>
    <xf numFmtId="164" fontId="1" fillId="2" borderId="41" xfId="0" applyNumberFormat="1" applyFont="1" applyFill="1" applyBorder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5" fontId="0" fillId="0" borderId="1" xfId="0" applyNumberFormat="1" applyBorder="1" applyAlignment="1">
      <alignment vertical="center" wrapText="1"/>
    </xf>
    <xf numFmtId="14" fontId="0" fillId="0" borderId="1" xfId="0" applyNumberFormat="1" applyBorder="1" applyAlignment="1">
      <alignment vertical="center"/>
    </xf>
    <xf numFmtId="0" fontId="12" fillId="0" borderId="26" xfId="0" applyFont="1" applyBorder="1" applyAlignment="1">
      <alignment horizontal="right"/>
    </xf>
    <xf numFmtId="0" fontId="12" fillId="0" borderId="1" xfId="0" applyFont="1" applyBorder="1" applyAlignment="1">
      <alignment horizontal="right"/>
    </xf>
    <xf numFmtId="0" fontId="2" fillId="0" borderId="42" xfId="0" applyFont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4" fontId="1" fillId="2" borderId="14" xfId="0" applyNumberFormat="1" applyFont="1" applyFill="1" applyBorder="1" applyProtection="1">
      <protection locked="0"/>
    </xf>
    <xf numFmtId="0" fontId="3" fillId="0" borderId="12" xfId="0" applyFont="1" applyBorder="1" applyProtection="1">
      <protection locked="0"/>
    </xf>
    <xf numFmtId="0" fontId="3" fillId="0" borderId="12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24" xfId="0" applyBorder="1" applyAlignment="1">
      <alignment horizontal="left" vertical="center" wrapText="1"/>
    </xf>
    <xf numFmtId="0" fontId="0" fillId="0" borderId="24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left" vertical="center" wrapText="1"/>
    </xf>
    <xf numFmtId="0" fontId="0" fillId="0" borderId="38" xfId="0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protection locked="0"/>
    </xf>
    <xf numFmtId="0" fontId="0" fillId="5" borderId="10" xfId="0" applyFill="1" applyBorder="1" applyAlignment="1" applyProtection="1">
      <protection locked="0"/>
    </xf>
    <xf numFmtId="0" fontId="0" fillId="5" borderId="21" xfId="0" applyFill="1" applyBorder="1" applyAlignment="1" applyProtection="1">
      <protection locked="0"/>
    </xf>
    <xf numFmtId="0" fontId="0" fillId="5" borderId="11" xfId="0" applyFill="1" applyBorder="1" applyAlignment="1" applyProtection="1">
      <alignment vertical="top"/>
      <protection locked="0"/>
    </xf>
    <xf numFmtId="0" fontId="0" fillId="5" borderId="1" xfId="0" applyFill="1" applyBorder="1" applyAlignment="1" applyProtection="1">
      <alignment vertical="top"/>
      <protection locked="0"/>
    </xf>
    <xf numFmtId="0" fontId="0" fillId="5" borderId="14" xfId="0" applyFill="1" applyBorder="1" applyAlignment="1" applyProtection="1">
      <alignment vertical="top"/>
      <protection locked="0"/>
    </xf>
    <xf numFmtId="0" fontId="3" fillId="5" borderId="18" xfId="0" applyFont="1" applyFill="1" applyBorder="1" applyAlignment="1" applyProtection="1">
      <alignment horizontal="center"/>
      <protection locked="0"/>
    </xf>
    <xf numFmtId="0" fontId="3" fillId="5" borderId="19" xfId="0" applyFont="1" applyFill="1" applyBorder="1" applyAlignment="1" applyProtection="1">
      <alignment horizontal="center"/>
      <protection locked="0"/>
    </xf>
    <xf numFmtId="0" fontId="3" fillId="5" borderId="20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7" xfId="0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2" fillId="0" borderId="7" xfId="0" applyFont="1" applyBorder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4" fillId="4" borderId="16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4" fillId="4" borderId="6" xfId="0" applyFont="1" applyFill="1" applyBorder="1" applyAlignment="1" applyProtection="1">
      <alignment horizontal="center" vertical="center"/>
      <protection locked="0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vertical="top"/>
      <protection locked="0"/>
    </xf>
    <xf numFmtId="0" fontId="0" fillId="5" borderId="13" xfId="0" applyFill="1" applyBorder="1" applyAlignment="1" applyProtection="1">
      <alignment vertical="top"/>
      <protection locked="0"/>
    </xf>
    <xf numFmtId="0" fontId="0" fillId="5" borderId="15" xfId="0" applyFill="1" applyBorder="1" applyAlignment="1" applyProtection="1">
      <alignment vertical="top"/>
      <protection locked="0"/>
    </xf>
    <xf numFmtId="0" fontId="0" fillId="5" borderId="37" xfId="0" applyFill="1" applyBorder="1" applyAlignment="1" applyProtection="1">
      <alignment vertical="top" wrapText="1"/>
      <protection locked="0"/>
    </xf>
    <xf numFmtId="0" fontId="0" fillId="5" borderId="38" xfId="0" applyFill="1" applyBorder="1" applyAlignment="1" applyProtection="1">
      <alignment vertical="top" wrapText="1"/>
      <protection locked="0"/>
    </xf>
    <xf numFmtId="0" fontId="0" fillId="5" borderId="39" xfId="0" applyFill="1" applyBorder="1" applyAlignment="1" applyProtection="1">
      <alignment vertical="top" wrapText="1"/>
      <protection locked="0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3" xfId="0" applyFont="1" applyBorder="1" applyAlignment="1" applyProtection="1">
      <alignment horizontal="center"/>
    </xf>
    <xf numFmtId="0" fontId="11" fillId="0" borderId="5" xfId="0" applyFont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9" defaultPivotStyle="PivotStyleLight16"/>
  <colors>
    <mruColors>
      <color rgb="FFFF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0</xdr:row>
          <xdr:rowOff>142875</xdr:rowOff>
        </xdr:from>
        <xdr:to>
          <xdr:col>7</xdr:col>
          <xdr:colOff>133350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14</xdr:row>
          <xdr:rowOff>57150</xdr:rowOff>
        </xdr:from>
        <xdr:to>
          <xdr:col>9</xdr:col>
          <xdr:colOff>847725</xdr:colOff>
          <xdr:row>15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D4:N28"/>
  <sheetViews>
    <sheetView tabSelected="1" workbookViewId="0"/>
  </sheetViews>
  <sheetFormatPr defaultRowHeight="15" x14ac:dyDescent="0.25"/>
  <cols>
    <col min="7" max="7" width="10.42578125" bestFit="1" customWidth="1"/>
    <col min="8" max="8" width="14.5703125" bestFit="1" customWidth="1"/>
    <col min="13" max="13" width="22.28515625" customWidth="1"/>
  </cols>
  <sheetData>
    <row r="4" spans="4:14" ht="15.75" thickBot="1" x14ac:dyDescent="0.3"/>
    <row r="5" spans="4:14" x14ac:dyDescent="0.25">
      <c r="D5" s="78" t="s">
        <v>50</v>
      </c>
      <c r="E5" s="79"/>
      <c r="F5" s="79"/>
      <c r="G5" s="79"/>
      <c r="H5" s="79"/>
      <c r="I5" s="79"/>
      <c r="J5" s="79"/>
      <c r="K5" s="79"/>
      <c r="L5" s="79"/>
      <c r="M5" s="79"/>
      <c r="N5" s="80"/>
    </row>
    <row r="6" spans="4:14" x14ac:dyDescent="0.25">
      <c r="D6" s="81"/>
      <c r="E6" s="82"/>
      <c r="F6" s="82"/>
      <c r="G6" s="82"/>
      <c r="H6" s="82"/>
      <c r="I6" s="82"/>
      <c r="J6" s="82"/>
      <c r="K6" s="82"/>
      <c r="L6" s="82"/>
      <c r="M6" s="82"/>
      <c r="N6" s="83"/>
    </row>
    <row r="7" spans="4:14" x14ac:dyDescent="0.25">
      <c r="D7" s="81"/>
      <c r="E7" s="82"/>
      <c r="F7" s="82"/>
      <c r="G7" s="82"/>
      <c r="H7" s="82"/>
      <c r="I7" s="82"/>
      <c r="J7" s="82"/>
      <c r="K7" s="82"/>
      <c r="L7" s="82"/>
      <c r="M7" s="82"/>
      <c r="N7" s="83"/>
    </row>
    <row r="8" spans="4:14" x14ac:dyDescent="0.25">
      <c r="D8" s="81"/>
      <c r="E8" s="82"/>
      <c r="F8" s="82"/>
      <c r="G8" s="82"/>
      <c r="H8" s="82"/>
      <c r="I8" s="82"/>
      <c r="J8" s="82"/>
      <c r="K8" s="82"/>
      <c r="L8" s="82"/>
      <c r="M8" s="82"/>
      <c r="N8" s="83"/>
    </row>
    <row r="9" spans="4:14" x14ac:dyDescent="0.25">
      <c r="D9" s="81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4:14" ht="15.75" thickBot="1" x14ac:dyDescent="0.3">
      <c r="D10" s="84"/>
      <c r="E10" s="85"/>
      <c r="F10" s="85"/>
      <c r="G10" s="85"/>
      <c r="H10" s="85"/>
      <c r="I10" s="85"/>
      <c r="J10" s="85"/>
      <c r="K10" s="85"/>
      <c r="L10" s="85"/>
      <c r="M10" s="85"/>
      <c r="N10" s="86"/>
    </row>
    <row r="14" spans="4:14" ht="15.75" thickBot="1" x14ac:dyDescent="0.3"/>
    <row r="15" spans="4:14" x14ac:dyDescent="0.25">
      <c r="E15" s="87" t="s">
        <v>51</v>
      </c>
      <c r="F15" s="88"/>
      <c r="G15" s="88"/>
      <c r="H15" s="88"/>
      <c r="I15" s="88"/>
      <c r="J15" s="88"/>
      <c r="K15" s="88"/>
      <c r="L15" s="88"/>
      <c r="M15" s="89"/>
    </row>
    <row r="16" spans="4:14" ht="15.75" thickBot="1" x14ac:dyDescent="0.3">
      <c r="E16" s="58" t="s">
        <v>52</v>
      </c>
      <c r="F16" s="59" t="s">
        <v>53</v>
      </c>
      <c r="G16" s="59" t="s">
        <v>54</v>
      </c>
      <c r="H16" s="59" t="s">
        <v>55</v>
      </c>
      <c r="I16" s="90" t="s">
        <v>56</v>
      </c>
      <c r="J16" s="90"/>
      <c r="K16" s="90"/>
      <c r="L16" s="90"/>
      <c r="M16" s="91"/>
    </row>
    <row r="17" spans="5:13" ht="33" customHeight="1" x14ac:dyDescent="0.25">
      <c r="E17" s="56">
        <v>1</v>
      </c>
      <c r="F17" s="27" t="s">
        <v>95</v>
      </c>
      <c r="G17" s="28">
        <v>41698</v>
      </c>
      <c r="H17" s="27" t="s">
        <v>93</v>
      </c>
      <c r="I17" s="92" t="s">
        <v>96</v>
      </c>
      <c r="J17" s="93"/>
      <c r="K17" s="93"/>
      <c r="L17" s="93"/>
      <c r="M17" s="93"/>
    </row>
    <row r="18" spans="5:13" ht="51" customHeight="1" x14ac:dyDescent="0.25">
      <c r="E18" s="56">
        <v>2</v>
      </c>
      <c r="F18" s="29" t="s">
        <v>114</v>
      </c>
      <c r="G18" s="66">
        <v>41796</v>
      </c>
      <c r="H18" s="29" t="s">
        <v>93</v>
      </c>
      <c r="I18" s="94" t="s">
        <v>115</v>
      </c>
      <c r="J18" s="77"/>
      <c r="K18" s="77"/>
      <c r="L18" s="77"/>
      <c r="M18" s="77"/>
    </row>
    <row r="19" spans="5:13" x14ac:dyDescent="0.25">
      <c r="E19" s="57">
        <v>3</v>
      </c>
      <c r="F19" s="29" t="s">
        <v>116</v>
      </c>
      <c r="G19" s="32">
        <v>42011</v>
      </c>
      <c r="H19" s="29" t="s">
        <v>117</v>
      </c>
      <c r="I19" s="77" t="s">
        <v>118</v>
      </c>
      <c r="J19" s="77"/>
      <c r="K19" s="77"/>
      <c r="L19" s="77"/>
      <c r="M19" s="77"/>
    </row>
    <row r="20" spans="5:13" ht="90" customHeight="1" x14ac:dyDescent="0.25">
      <c r="E20" s="57">
        <v>4</v>
      </c>
      <c r="F20" s="29" t="s">
        <v>123</v>
      </c>
      <c r="G20" s="32">
        <v>42698</v>
      </c>
      <c r="H20" s="29" t="s">
        <v>124</v>
      </c>
      <c r="I20" s="96" t="s">
        <v>125</v>
      </c>
      <c r="J20" s="97"/>
      <c r="K20" s="97"/>
      <c r="L20" s="97"/>
      <c r="M20" s="98"/>
    </row>
    <row r="21" spans="5:13" ht="45.75" customHeight="1" x14ac:dyDescent="0.25">
      <c r="E21" s="63"/>
      <c r="F21" s="64"/>
      <c r="G21" s="65"/>
      <c r="H21" s="64"/>
      <c r="I21" s="96"/>
      <c r="J21" s="97"/>
      <c r="K21" s="97"/>
      <c r="L21" s="97"/>
      <c r="M21" s="98"/>
    </row>
    <row r="22" spans="5:13" ht="44.25" customHeight="1" x14ac:dyDescent="0.25">
      <c r="E22" s="57"/>
      <c r="F22" s="29"/>
      <c r="G22" s="66"/>
      <c r="H22" s="29"/>
      <c r="I22" s="96"/>
      <c r="J22" s="97"/>
      <c r="K22" s="97"/>
      <c r="L22" s="97"/>
      <c r="M22" s="98"/>
    </row>
    <row r="23" spans="5:13" ht="32.25" customHeight="1" x14ac:dyDescent="0.25">
      <c r="E23" s="57"/>
      <c r="F23" s="29"/>
      <c r="G23" s="66"/>
      <c r="H23" s="29"/>
      <c r="I23" s="96"/>
      <c r="J23" s="97"/>
      <c r="K23" s="97"/>
      <c r="L23" s="97"/>
      <c r="M23" s="98"/>
    </row>
    <row r="24" spans="5:13" x14ac:dyDescent="0.25">
      <c r="E24" s="57"/>
      <c r="F24" s="29"/>
      <c r="G24" s="29"/>
      <c r="H24" s="29"/>
      <c r="I24" s="77"/>
      <c r="J24" s="77"/>
      <c r="K24" s="77"/>
      <c r="L24" s="77"/>
      <c r="M24" s="77"/>
    </row>
    <row r="25" spans="5:13" x14ac:dyDescent="0.25">
      <c r="E25" s="57"/>
      <c r="F25" s="29"/>
      <c r="G25" s="29"/>
      <c r="H25" s="29"/>
      <c r="I25" s="77"/>
      <c r="J25" s="77"/>
      <c r="K25" s="77"/>
      <c r="L25" s="77"/>
      <c r="M25" s="77"/>
    </row>
    <row r="26" spans="5:13" x14ac:dyDescent="0.25">
      <c r="E26" s="57"/>
      <c r="F26" s="29"/>
      <c r="G26" s="29"/>
      <c r="H26" s="29"/>
      <c r="I26" s="77"/>
      <c r="J26" s="77"/>
      <c r="K26" s="77"/>
      <c r="L26" s="77"/>
      <c r="M26" s="77"/>
    </row>
    <row r="27" spans="5:13" x14ac:dyDescent="0.25">
      <c r="E27" s="57"/>
      <c r="F27" s="29"/>
      <c r="G27" s="29"/>
      <c r="H27" s="29"/>
      <c r="I27" s="77"/>
      <c r="J27" s="77"/>
      <c r="K27" s="77"/>
      <c r="L27" s="77"/>
      <c r="M27" s="77"/>
    </row>
    <row r="28" spans="5:13" x14ac:dyDescent="0.25">
      <c r="I28" s="95"/>
      <c r="J28" s="95"/>
      <c r="K28" s="95"/>
      <c r="L28" s="95"/>
      <c r="M28" s="95"/>
    </row>
  </sheetData>
  <mergeCells count="15">
    <mergeCell ref="I26:M26"/>
    <mergeCell ref="I27:M27"/>
    <mergeCell ref="I28:M28"/>
    <mergeCell ref="I20:M20"/>
    <mergeCell ref="I21:M21"/>
    <mergeCell ref="I22:M22"/>
    <mergeCell ref="I23:M23"/>
    <mergeCell ref="I24:M24"/>
    <mergeCell ref="I25:M25"/>
    <mergeCell ref="I19:M19"/>
    <mergeCell ref="D5:N10"/>
    <mergeCell ref="E15:M15"/>
    <mergeCell ref="I16:M16"/>
    <mergeCell ref="I17:M17"/>
    <mergeCell ref="I18:M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Q46"/>
  <sheetViews>
    <sheetView workbookViewId="0"/>
  </sheetViews>
  <sheetFormatPr defaultRowHeight="15" x14ac:dyDescent="0.25"/>
  <cols>
    <col min="1" max="2" width="17.7109375" style="1" customWidth="1"/>
    <col min="3" max="10" width="14.7109375" style="1" customWidth="1"/>
    <col min="11" max="16384" width="9.140625" style="1"/>
  </cols>
  <sheetData>
    <row r="1" spans="1:17" ht="15.75" thickBot="1" x14ac:dyDescent="0.3">
      <c r="A1" s="21" t="s">
        <v>4</v>
      </c>
      <c r="B1" s="22">
        <v>20000000</v>
      </c>
      <c r="C1" s="114"/>
      <c r="D1" s="115"/>
      <c r="E1" s="115"/>
      <c r="F1" s="115"/>
      <c r="G1" s="115"/>
      <c r="H1" s="115"/>
      <c r="I1" s="115"/>
      <c r="J1" s="116"/>
      <c r="Q1" s="62"/>
    </row>
    <row r="2" spans="1:17" x14ac:dyDescent="0.25">
      <c r="A2" s="3" t="s">
        <v>5</v>
      </c>
      <c r="B2" s="22">
        <v>20000000</v>
      </c>
      <c r="C2" s="117"/>
      <c r="D2" s="118"/>
      <c r="E2" s="118"/>
      <c r="F2" s="118"/>
      <c r="G2" s="118"/>
      <c r="H2" s="118"/>
      <c r="I2" s="118"/>
      <c r="J2" s="119"/>
    </row>
    <row r="3" spans="1:17" ht="15.75" thickBot="1" x14ac:dyDescent="0.3">
      <c r="A3" s="4" t="s">
        <v>43</v>
      </c>
      <c r="B3" s="23" t="s">
        <v>119</v>
      </c>
      <c r="C3" s="117"/>
      <c r="D3" s="118"/>
      <c r="E3" s="118"/>
      <c r="F3" s="118"/>
      <c r="G3" s="118"/>
      <c r="H3" s="118"/>
      <c r="I3" s="118"/>
      <c r="J3" s="119"/>
    </row>
    <row r="4" spans="1:17" ht="15.75" thickBot="1" x14ac:dyDescent="0.3">
      <c r="A4" s="60" t="s">
        <v>92</v>
      </c>
      <c r="B4" s="61" t="s">
        <v>122</v>
      </c>
      <c r="C4" s="120"/>
      <c r="D4" s="121"/>
      <c r="E4" s="122"/>
      <c r="F4" s="122"/>
      <c r="G4" s="122"/>
      <c r="H4" s="122"/>
      <c r="I4" s="122"/>
      <c r="J4" s="123"/>
    </row>
    <row r="5" spans="1:17" x14ac:dyDescent="0.25">
      <c r="A5" s="19" t="s">
        <v>1</v>
      </c>
      <c r="B5" s="20">
        <v>0</v>
      </c>
      <c r="C5" s="142" t="s">
        <v>121</v>
      </c>
      <c r="D5" s="124"/>
      <c r="E5" s="124"/>
      <c r="F5" s="124"/>
      <c r="G5" s="124"/>
      <c r="H5" s="124"/>
      <c r="I5" s="124"/>
      <c r="J5" s="124"/>
    </row>
    <row r="6" spans="1:17" ht="15" customHeight="1" x14ac:dyDescent="0.25">
      <c r="A6" s="3" t="s">
        <v>2</v>
      </c>
      <c r="B6" s="17">
        <v>20</v>
      </c>
      <c r="C6" s="125"/>
      <c r="D6" s="126"/>
      <c r="E6" s="126"/>
      <c r="F6" s="126"/>
      <c r="G6" s="126"/>
      <c r="H6" s="126"/>
      <c r="I6" s="126"/>
      <c r="J6" s="126"/>
    </row>
    <row r="7" spans="1:17" x14ac:dyDescent="0.25">
      <c r="A7" s="3" t="s">
        <v>3</v>
      </c>
      <c r="B7" s="17">
        <v>20</v>
      </c>
      <c r="C7" s="125"/>
      <c r="D7" s="126"/>
      <c r="E7" s="126"/>
      <c r="F7" s="126"/>
      <c r="G7" s="126"/>
      <c r="H7" s="126"/>
      <c r="I7" s="126"/>
      <c r="J7" s="126"/>
    </row>
    <row r="8" spans="1:17" x14ac:dyDescent="0.25">
      <c r="A8" s="5" t="s">
        <v>6</v>
      </c>
      <c r="B8" s="18">
        <v>0</v>
      </c>
      <c r="C8" s="125"/>
      <c r="D8" s="126"/>
      <c r="E8" s="126"/>
      <c r="F8" s="126"/>
      <c r="G8" s="126"/>
      <c r="H8" s="126"/>
      <c r="I8" s="126"/>
      <c r="J8" s="126"/>
    </row>
    <row r="9" spans="1:17" x14ac:dyDescent="0.25">
      <c r="A9" s="69" t="s">
        <v>12</v>
      </c>
      <c r="B9" s="70" t="s">
        <v>49</v>
      </c>
      <c r="C9" s="125"/>
      <c r="D9" s="126"/>
      <c r="E9" s="126"/>
      <c r="F9" s="126"/>
      <c r="G9" s="126"/>
      <c r="H9" s="126"/>
      <c r="I9" s="126"/>
      <c r="J9" s="126"/>
    </row>
    <row r="10" spans="1:17" x14ac:dyDescent="0.25">
      <c r="A10" s="3" t="s">
        <v>97</v>
      </c>
      <c r="B10" s="71">
        <v>160000000</v>
      </c>
      <c r="C10" s="125"/>
      <c r="D10" s="126"/>
      <c r="E10" s="126"/>
      <c r="F10" s="126"/>
      <c r="G10" s="126"/>
      <c r="H10" s="126"/>
      <c r="I10" s="126"/>
      <c r="J10" s="126"/>
    </row>
    <row r="11" spans="1:17" x14ac:dyDescent="0.25">
      <c r="A11" s="69" t="s">
        <v>98</v>
      </c>
      <c r="B11" s="20">
        <v>0</v>
      </c>
      <c r="C11" s="125"/>
      <c r="D11" s="126"/>
      <c r="E11" s="126"/>
      <c r="F11" s="126"/>
      <c r="G11" s="126"/>
      <c r="H11" s="126"/>
      <c r="I11" s="126"/>
      <c r="J11" s="126"/>
    </row>
    <row r="12" spans="1:17" x14ac:dyDescent="0.25">
      <c r="A12" s="69" t="s">
        <v>99</v>
      </c>
      <c r="B12" s="20">
        <v>23</v>
      </c>
      <c r="C12" s="125"/>
      <c r="D12" s="126"/>
      <c r="E12" s="126"/>
      <c r="F12" s="126"/>
      <c r="G12" s="126"/>
      <c r="H12" s="126"/>
      <c r="I12" s="126"/>
      <c r="J12" s="126"/>
    </row>
    <row r="13" spans="1:17" x14ac:dyDescent="0.25">
      <c r="A13" s="69" t="s">
        <v>100</v>
      </c>
      <c r="B13" s="20">
        <v>2</v>
      </c>
      <c r="C13" s="125"/>
      <c r="D13" s="126"/>
      <c r="E13" s="126"/>
      <c r="F13" s="126"/>
      <c r="G13" s="126"/>
      <c r="H13" s="126"/>
      <c r="I13" s="126"/>
      <c r="J13" s="126"/>
    </row>
    <row r="14" spans="1:17" ht="15.75" thickBot="1" x14ac:dyDescent="0.3">
      <c r="A14" s="72" t="s">
        <v>101</v>
      </c>
      <c r="B14" s="20">
        <v>0</v>
      </c>
      <c r="C14" s="127"/>
      <c r="D14" s="128"/>
      <c r="E14" s="128"/>
      <c r="F14" s="128"/>
      <c r="G14" s="128"/>
      <c r="H14" s="128"/>
      <c r="I14" s="128"/>
      <c r="J14" s="128"/>
    </row>
    <row r="15" spans="1:17" x14ac:dyDescent="0.25">
      <c r="A15" s="99" t="s">
        <v>11</v>
      </c>
      <c r="B15" s="100"/>
      <c r="C15" s="100"/>
      <c r="D15" s="100"/>
      <c r="E15" s="100"/>
      <c r="F15" s="100"/>
      <c r="G15" s="100"/>
      <c r="H15" s="100"/>
      <c r="I15" s="100"/>
      <c r="J15" s="101"/>
    </row>
    <row r="16" spans="1:17" ht="15.75" thickBot="1" x14ac:dyDescent="0.3">
      <c r="A16" s="102"/>
      <c r="B16" s="103"/>
      <c r="C16" s="103"/>
      <c r="D16" s="103"/>
      <c r="E16" s="103"/>
      <c r="F16" s="103"/>
      <c r="G16" s="103"/>
      <c r="H16" s="103"/>
      <c r="I16" s="103"/>
      <c r="J16" s="104"/>
    </row>
    <row r="17" spans="1:16" ht="15.75" thickBot="1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</row>
    <row r="18" spans="1:16" ht="27" customHeight="1" thickBot="1" x14ac:dyDescent="0.3">
      <c r="A18" s="47" t="s">
        <v>76</v>
      </c>
      <c r="B18" s="48" t="s">
        <v>61</v>
      </c>
      <c r="C18" s="48" t="s">
        <v>62</v>
      </c>
      <c r="D18" s="48" t="s">
        <v>63</v>
      </c>
      <c r="E18" s="48" t="s">
        <v>64</v>
      </c>
      <c r="F18" s="48" t="s">
        <v>65</v>
      </c>
      <c r="G18" s="48" t="s">
        <v>66</v>
      </c>
      <c r="H18" s="48" t="s">
        <v>67</v>
      </c>
      <c r="I18" s="48" t="s">
        <v>68</v>
      </c>
      <c r="J18" s="48" t="s">
        <v>69</v>
      </c>
      <c r="K18" s="35"/>
    </row>
    <row r="19" spans="1:16" x14ac:dyDescent="0.25">
      <c r="A19" s="44" t="s">
        <v>9</v>
      </c>
      <c r="B19" s="41">
        <v>20000000</v>
      </c>
      <c r="C19" s="37">
        <v>20000000</v>
      </c>
      <c r="D19" s="37">
        <v>10000000</v>
      </c>
      <c r="E19" s="37">
        <v>10000000</v>
      </c>
      <c r="F19" s="37">
        <v>10000000</v>
      </c>
      <c r="G19" s="37">
        <v>5000000</v>
      </c>
      <c r="H19" s="37">
        <v>5000000</v>
      </c>
      <c r="I19" s="37">
        <v>4000000</v>
      </c>
      <c r="J19" s="37"/>
      <c r="K19" s="34"/>
      <c r="P19" s="1" t="s">
        <v>10</v>
      </c>
    </row>
    <row r="20" spans="1:16" x14ac:dyDescent="0.25">
      <c r="A20" s="45" t="s">
        <v>40</v>
      </c>
      <c r="B20" s="42">
        <v>20000000</v>
      </c>
      <c r="C20" s="36">
        <v>20000000</v>
      </c>
      <c r="D20" s="36">
        <v>10000000</v>
      </c>
      <c r="E20" s="36">
        <v>10000000</v>
      </c>
      <c r="F20" s="36">
        <v>10000000</v>
      </c>
      <c r="G20" s="36">
        <v>5000000</v>
      </c>
      <c r="H20" s="36">
        <v>5000000</v>
      </c>
      <c r="I20" s="36">
        <v>4000000</v>
      </c>
      <c r="J20" s="36"/>
      <c r="K20" s="34"/>
    </row>
    <row r="21" spans="1:16" x14ac:dyDescent="0.25">
      <c r="A21" s="45" t="s">
        <v>7</v>
      </c>
      <c r="B21" s="42">
        <v>10000000</v>
      </c>
      <c r="C21" s="36">
        <v>5000000</v>
      </c>
      <c r="D21" s="36">
        <v>10000000</v>
      </c>
      <c r="E21" s="36">
        <v>5000000</v>
      </c>
      <c r="F21" s="36">
        <v>2500000</v>
      </c>
      <c r="G21" s="36">
        <v>5000000</v>
      </c>
      <c r="H21" s="36">
        <v>2500000</v>
      </c>
      <c r="I21" s="36">
        <v>2000000</v>
      </c>
      <c r="J21" s="36"/>
      <c r="K21" s="34"/>
    </row>
    <row r="22" spans="1:16" x14ac:dyDescent="0.25">
      <c r="A22" s="45" t="s">
        <v>8</v>
      </c>
      <c r="B22" s="42">
        <v>20000000</v>
      </c>
      <c r="C22" s="36">
        <v>20000000</v>
      </c>
      <c r="D22" s="36">
        <v>10000000</v>
      </c>
      <c r="E22" s="36">
        <v>10000000</v>
      </c>
      <c r="F22" s="36">
        <v>10000000</v>
      </c>
      <c r="G22" s="36">
        <v>5000000</v>
      </c>
      <c r="H22" s="36">
        <v>5000000</v>
      </c>
      <c r="I22" s="36">
        <v>4000000</v>
      </c>
      <c r="J22" s="36"/>
      <c r="K22" s="34"/>
    </row>
    <row r="23" spans="1:16" x14ac:dyDescent="0.25">
      <c r="A23" s="45" t="s">
        <v>47</v>
      </c>
      <c r="B23" s="42">
        <v>20000000</v>
      </c>
      <c r="C23" s="36">
        <v>20000000</v>
      </c>
      <c r="D23" s="36">
        <v>10000000</v>
      </c>
      <c r="E23" s="36">
        <v>10000000</v>
      </c>
      <c r="F23" s="36">
        <v>10000000</v>
      </c>
      <c r="G23" s="36">
        <v>5000000</v>
      </c>
      <c r="H23" s="36">
        <v>5000000</v>
      </c>
      <c r="I23" s="36">
        <v>4000000</v>
      </c>
      <c r="J23" s="36"/>
      <c r="K23" s="34"/>
    </row>
    <row r="24" spans="1:16" x14ac:dyDescent="0.25">
      <c r="A24" s="45" t="s">
        <v>0</v>
      </c>
      <c r="B24" s="42">
        <v>20000000</v>
      </c>
      <c r="C24" s="36">
        <v>20000000</v>
      </c>
      <c r="D24" s="36">
        <v>10000000</v>
      </c>
      <c r="E24" s="36">
        <v>10000000</v>
      </c>
      <c r="F24" s="36">
        <v>10000000</v>
      </c>
      <c r="G24" s="36">
        <v>5000000</v>
      </c>
      <c r="H24" s="36">
        <v>5000000</v>
      </c>
      <c r="I24" s="36">
        <v>4000000</v>
      </c>
      <c r="J24" s="36"/>
      <c r="K24" s="34"/>
    </row>
    <row r="25" spans="1:16" x14ac:dyDescent="0.25">
      <c r="A25" s="45" t="s">
        <v>42</v>
      </c>
      <c r="B25" s="42">
        <v>10000000</v>
      </c>
      <c r="C25" s="36">
        <v>5000000</v>
      </c>
      <c r="D25" s="36">
        <v>10000000</v>
      </c>
      <c r="E25" s="36">
        <v>5000000</v>
      </c>
      <c r="F25" s="36">
        <v>2500000</v>
      </c>
      <c r="G25" s="36">
        <v>5000000</v>
      </c>
      <c r="H25" s="36">
        <v>2500000</v>
      </c>
      <c r="I25" s="36">
        <v>2000000</v>
      </c>
      <c r="J25" s="36"/>
      <c r="K25" s="34"/>
    </row>
    <row r="26" spans="1:16" x14ac:dyDescent="0.25">
      <c r="A26" s="45" t="s">
        <v>41</v>
      </c>
      <c r="B26" s="42">
        <v>10000000</v>
      </c>
      <c r="C26" s="36">
        <v>5000000</v>
      </c>
      <c r="D26" s="36">
        <v>10000000</v>
      </c>
      <c r="E26" s="36">
        <v>5000000</v>
      </c>
      <c r="F26" s="36">
        <v>2500000</v>
      </c>
      <c r="G26" s="36">
        <v>5000000</v>
      </c>
      <c r="H26" s="36">
        <v>2500000</v>
      </c>
      <c r="I26" s="36">
        <v>2000000</v>
      </c>
      <c r="J26" s="36"/>
      <c r="K26" s="34"/>
    </row>
    <row r="27" spans="1:16" x14ac:dyDescent="0.25">
      <c r="A27" s="45" t="s">
        <v>48</v>
      </c>
      <c r="B27" s="42">
        <v>20000000</v>
      </c>
      <c r="C27" s="36">
        <v>20000000</v>
      </c>
      <c r="D27" s="36">
        <v>10000000</v>
      </c>
      <c r="E27" s="36">
        <v>10000000</v>
      </c>
      <c r="F27" s="36">
        <v>10000000</v>
      </c>
      <c r="G27" s="36">
        <v>5000000</v>
      </c>
      <c r="H27" s="36">
        <v>5000000</v>
      </c>
      <c r="I27" s="36">
        <v>4000000</v>
      </c>
      <c r="J27" s="36"/>
      <c r="K27" s="34"/>
    </row>
    <row r="28" spans="1:16" x14ac:dyDescent="0.25">
      <c r="A28" s="45" t="s">
        <v>70</v>
      </c>
      <c r="B28" s="67" t="s">
        <v>49</v>
      </c>
      <c r="C28" s="68" t="s">
        <v>49</v>
      </c>
      <c r="D28" s="68" t="s">
        <v>49</v>
      </c>
      <c r="E28" s="68" t="s">
        <v>49</v>
      </c>
      <c r="F28" s="68" t="s">
        <v>49</v>
      </c>
      <c r="G28" s="68" t="s">
        <v>49</v>
      </c>
      <c r="H28" s="68" t="s">
        <v>49</v>
      </c>
      <c r="I28" s="68" t="s">
        <v>49</v>
      </c>
      <c r="J28" s="68"/>
      <c r="K28" s="34"/>
    </row>
    <row r="29" spans="1:16" x14ac:dyDescent="0.25">
      <c r="A29" s="45" t="s">
        <v>71</v>
      </c>
      <c r="B29" s="42">
        <v>10000000</v>
      </c>
      <c r="C29" s="36">
        <v>5000000</v>
      </c>
      <c r="D29" s="36">
        <v>10000000</v>
      </c>
      <c r="E29" s="36">
        <v>5000000</v>
      </c>
      <c r="F29" s="36">
        <v>2500000</v>
      </c>
      <c r="G29" s="36">
        <v>5000000</v>
      </c>
      <c r="H29" s="36">
        <v>2500000</v>
      </c>
      <c r="I29" s="36">
        <v>2000000</v>
      </c>
      <c r="J29" s="36"/>
      <c r="K29" s="34"/>
    </row>
    <row r="30" spans="1:16" x14ac:dyDescent="0.25">
      <c r="A30" s="45" t="s">
        <v>72</v>
      </c>
      <c r="B30" s="42">
        <v>10000000</v>
      </c>
      <c r="C30" s="36">
        <v>5000000</v>
      </c>
      <c r="D30" s="36">
        <v>10000000</v>
      </c>
      <c r="E30" s="36">
        <v>5000000</v>
      </c>
      <c r="F30" s="36">
        <v>2500000</v>
      </c>
      <c r="G30" s="36">
        <v>5000000</v>
      </c>
      <c r="H30" s="36">
        <v>2500000</v>
      </c>
      <c r="I30" s="36">
        <v>2000000</v>
      </c>
      <c r="J30" s="36"/>
      <c r="K30" s="34"/>
    </row>
    <row r="31" spans="1:16" x14ac:dyDescent="0.25">
      <c r="A31" s="45" t="s">
        <v>73</v>
      </c>
      <c r="B31" s="42">
        <v>10000000</v>
      </c>
      <c r="C31" s="36">
        <v>5000000</v>
      </c>
      <c r="D31" s="36">
        <v>10000000</v>
      </c>
      <c r="E31" s="36">
        <v>5000000</v>
      </c>
      <c r="F31" s="36">
        <v>2500000</v>
      </c>
      <c r="G31" s="36">
        <v>5000000</v>
      </c>
      <c r="H31" s="36">
        <v>2500000</v>
      </c>
      <c r="I31" s="36">
        <v>2000000</v>
      </c>
      <c r="J31" s="36"/>
      <c r="K31" s="34"/>
    </row>
    <row r="32" spans="1:16" ht="15.75" thickBot="1" x14ac:dyDescent="0.3">
      <c r="A32" s="46" t="s">
        <v>74</v>
      </c>
      <c r="B32" s="43">
        <v>10000000</v>
      </c>
      <c r="C32" s="38">
        <v>5000000</v>
      </c>
      <c r="D32" s="38">
        <v>10000000</v>
      </c>
      <c r="E32" s="38">
        <v>5000000</v>
      </c>
      <c r="F32" s="38">
        <v>2500000</v>
      </c>
      <c r="G32" s="38">
        <v>5000000</v>
      </c>
      <c r="H32" s="38">
        <v>2500000</v>
      </c>
      <c r="I32" s="38">
        <v>2000000</v>
      </c>
      <c r="J32" s="38"/>
      <c r="K32" s="34"/>
    </row>
    <row r="33" spans="1:11" x14ac:dyDescent="0.25">
      <c r="A33" s="40" t="s">
        <v>75</v>
      </c>
      <c r="B33" s="39" t="s">
        <v>120</v>
      </c>
      <c r="C33" s="39" t="s">
        <v>120</v>
      </c>
      <c r="D33" s="39" t="s">
        <v>120</v>
      </c>
      <c r="E33" s="39" t="s">
        <v>120</v>
      </c>
      <c r="F33" s="39" t="s">
        <v>120</v>
      </c>
      <c r="G33" s="39" t="s">
        <v>120</v>
      </c>
      <c r="H33" s="39" t="s">
        <v>120</v>
      </c>
      <c r="I33" s="39" t="s">
        <v>120</v>
      </c>
      <c r="J33" s="39"/>
      <c r="K33" s="34"/>
    </row>
    <row r="34" spans="1:11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</row>
    <row r="35" spans="1:11" ht="15.75" thickBot="1" x14ac:dyDescent="0.3"/>
    <row r="36" spans="1:11" ht="15.75" thickBot="1" x14ac:dyDescent="0.3">
      <c r="C36" s="111" t="s">
        <v>33</v>
      </c>
      <c r="D36" s="112"/>
      <c r="E36" s="112"/>
      <c r="F36" s="112"/>
      <c r="G36" s="112"/>
      <c r="H36" s="113"/>
    </row>
    <row r="37" spans="1:11" x14ac:dyDescent="0.25">
      <c r="C37" s="105" t="s">
        <v>31</v>
      </c>
      <c r="D37" s="106"/>
      <c r="E37" s="106"/>
      <c r="F37" s="106"/>
      <c r="G37" s="106"/>
      <c r="H37" s="107"/>
    </row>
    <row r="38" spans="1:11" x14ac:dyDescent="0.25">
      <c r="C38" s="108" t="s">
        <v>35</v>
      </c>
      <c r="D38" s="109"/>
      <c r="E38" s="109"/>
      <c r="F38" s="109"/>
      <c r="G38" s="109"/>
      <c r="H38" s="110"/>
    </row>
    <row r="39" spans="1:11" x14ac:dyDescent="0.25">
      <c r="C39" s="108" t="s">
        <v>37</v>
      </c>
      <c r="D39" s="109"/>
      <c r="E39" s="109"/>
      <c r="F39" s="109"/>
      <c r="G39" s="109"/>
      <c r="H39" s="110"/>
    </row>
    <row r="40" spans="1:11" x14ac:dyDescent="0.25">
      <c r="C40" s="108" t="s">
        <v>36</v>
      </c>
      <c r="D40" s="109"/>
      <c r="E40" s="109"/>
      <c r="F40" s="109"/>
      <c r="G40" s="109"/>
      <c r="H40" s="110"/>
    </row>
    <row r="41" spans="1:11" x14ac:dyDescent="0.25">
      <c r="C41" s="108" t="s">
        <v>38</v>
      </c>
      <c r="D41" s="109"/>
      <c r="E41" s="109"/>
      <c r="F41" s="109"/>
      <c r="G41" s="109"/>
      <c r="H41" s="110"/>
    </row>
    <row r="42" spans="1:11" ht="33.75" customHeight="1" x14ac:dyDescent="0.25">
      <c r="C42" s="132" t="s">
        <v>39</v>
      </c>
      <c r="D42" s="133"/>
      <c r="E42" s="133"/>
      <c r="F42" s="133"/>
      <c r="G42" s="133"/>
      <c r="H42" s="134"/>
    </row>
    <row r="43" spans="1:11" x14ac:dyDescent="0.25">
      <c r="C43" s="108" t="s">
        <v>34</v>
      </c>
      <c r="D43" s="109"/>
      <c r="E43" s="109"/>
      <c r="F43" s="109"/>
      <c r="G43" s="109"/>
      <c r="H43" s="110"/>
    </row>
    <row r="44" spans="1:11" ht="15.75" thickBot="1" x14ac:dyDescent="0.3">
      <c r="C44" s="129" t="s">
        <v>32</v>
      </c>
      <c r="D44" s="130"/>
      <c r="E44" s="130"/>
      <c r="F44" s="130"/>
      <c r="G44" s="130"/>
      <c r="H44" s="131"/>
    </row>
    <row r="46" spans="1:11" x14ac:dyDescent="0.25">
      <c r="A46" s="2"/>
    </row>
  </sheetData>
  <mergeCells count="12">
    <mergeCell ref="C44:H44"/>
    <mergeCell ref="C40:H40"/>
    <mergeCell ref="C41:H41"/>
    <mergeCell ref="C39:H39"/>
    <mergeCell ref="C42:H42"/>
    <mergeCell ref="C43:H43"/>
    <mergeCell ref="A15:J16"/>
    <mergeCell ref="C37:H37"/>
    <mergeCell ref="C38:H38"/>
    <mergeCell ref="C36:H36"/>
    <mergeCell ref="C1:J4"/>
    <mergeCell ref="C5:J14"/>
  </mergeCells>
  <conditionalFormatting sqref="B8">
    <cfRule type="cellIs" dxfId="0" priority="1" operator="notEqual">
      <formula>0</formula>
    </cfRule>
  </conditionalFormatting>
  <dataValidations count="2">
    <dataValidation type="list" allowBlank="1" showInputMessage="1" showErrorMessage="1" sqref="B3">
      <formula1>" NORMAL, PRE-SCALE"</formula1>
    </dataValidation>
    <dataValidation type="list" allowBlank="1" showInputMessage="1" showErrorMessage="1" sqref="B4">
      <formula1>"TC23x,TC22x,TC21x"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nClick">
                <anchor moveWithCells="1" sizeWithCells="1">
                  <from>
                    <xdr:col>5</xdr:col>
                    <xdr:colOff>685800</xdr:colOff>
                    <xdr:row>0</xdr:row>
                    <xdr:rowOff>142875</xdr:rowOff>
                  </from>
                  <to>
                    <xdr:col>7</xdr:col>
                    <xdr:colOff>133350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FreqList">
                <anchor moveWithCells="1" sizeWithCells="1">
                  <from>
                    <xdr:col>9</xdr:col>
                    <xdr:colOff>76200</xdr:colOff>
                    <xdr:row>14</xdr:row>
                    <xdr:rowOff>57150</xdr:rowOff>
                  </from>
                  <to>
                    <xdr:col>9</xdr:col>
                    <xdr:colOff>847725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66FF"/>
  </sheetPr>
  <dimension ref="A1:F37"/>
  <sheetViews>
    <sheetView topLeftCell="A13" workbookViewId="0">
      <selection activeCell="A21" sqref="A21:F21"/>
    </sheetView>
  </sheetViews>
  <sheetFormatPr defaultRowHeight="15" x14ac:dyDescent="0.25"/>
  <cols>
    <col min="1" max="1" width="33.85546875" style="7" customWidth="1"/>
    <col min="2" max="2" width="20.7109375" style="6" customWidth="1"/>
    <col min="3" max="4" width="20.7109375" customWidth="1"/>
    <col min="5" max="6" width="30.7109375" customWidth="1"/>
  </cols>
  <sheetData>
    <row r="1" spans="1:6" ht="15.75" thickBot="1" x14ac:dyDescent="0.3">
      <c r="A1" s="135" t="s">
        <v>59</v>
      </c>
      <c r="B1" s="136"/>
      <c r="C1" s="136"/>
      <c r="D1" s="136"/>
      <c r="E1" s="136"/>
      <c r="F1" s="137"/>
    </row>
    <row r="2" spans="1:6" ht="15.75" thickBot="1" x14ac:dyDescent="0.3">
      <c r="A2" s="138" t="s">
        <v>60</v>
      </c>
      <c r="B2" s="139"/>
      <c r="C2" s="140" t="s">
        <v>57</v>
      </c>
      <c r="D2" s="141"/>
      <c r="E2" s="138" t="s">
        <v>58</v>
      </c>
      <c r="F2" s="139"/>
    </row>
    <row r="3" spans="1:6" x14ac:dyDescent="0.25">
      <c r="A3" s="9" t="s">
        <v>13</v>
      </c>
      <c r="B3" s="10">
        <v>0</v>
      </c>
      <c r="C3" s="9" t="s">
        <v>20</v>
      </c>
      <c r="D3" s="10">
        <v>1</v>
      </c>
      <c r="E3" s="50" t="s">
        <v>30</v>
      </c>
      <c r="F3" s="24">
        <v>20000000</v>
      </c>
    </row>
    <row r="4" spans="1:6" x14ac:dyDescent="0.25">
      <c r="A4" s="13" t="s">
        <v>14</v>
      </c>
      <c r="B4" s="14">
        <v>20</v>
      </c>
      <c r="C4" s="13" t="s">
        <v>19</v>
      </c>
      <c r="D4" s="14">
        <v>0</v>
      </c>
      <c r="E4" s="51" t="s">
        <v>27</v>
      </c>
      <c r="F4" s="25">
        <v>20000000</v>
      </c>
    </row>
    <row r="5" spans="1:6" x14ac:dyDescent="0.25">
      <c r="A5" s="13" t="s">
        <v>15</v>
      </c>
      <c r="B5" s="14" t="s">
        <v>49</v>
      </c>
      <c r="C5" s="13" t="s">
        <v>21</v>
      </c>
      <c r="D5" s="14">
        <v>2</v>
      </c>
      <c r="E5" s="51" t="s">
        <v>25</v>
      </c>
      <c r="F5" s="26">
        <v>10000000</v>
      </c>
    </row>
    <row r="6" spans="1:6" x14ac:dyDescent="0.25">
      <c r="A6" s="13" t="s">
        <v>16</v>
      </c>
      <c r="B6" s="14">
        <v>20</v>
      </c>
      <c r="C6" s="13" t="s">
        <v>22</v>
      </c>
      <c r="D6" s="12">
        <v>1</v>
      </c>
      <c r="E6" s="51" t="s">
        <v>26</v>
      </c>
      <c r="F6" s="26">
        <v>20000000</v>
      </c>
    </row>
    <row r="7" spans="1:6" x14ac:dyDescent="0.25">
      <c r="A7" s="13" t="s">
        <v>83</v>
      </c>
      <c r="B7" s="14">
        <v>4</v>
      </c>
      <c r="C7" s="13" t="s">
        <v>44</v>
      </c>
      <c r="D7" s="14">
        <v>1</v>
      </c>
      <c r="E7" s="51" t="s">
        <v>46</v>
      </c>
      <c r="F7" s="26">
        <v>20000000</v>
      </c>
    </row>
    <row r="8" spans="1:6" x14ac:dyDescent="0.25">
      <c r="A8" s="11" t="s">
        <v>17</v>
      </c>
      <c r="B8" s="12">
        <v>4</v>
      </c>
      <c r="C8" s="13" t="s">
        <v>77</v>
      </c>
      <c r="D8" s="14">
        <v>1</v>
      </c>
      <c r="E8" s="51" t="s">
        <v>28</v>
      </c>
      <c r="F8" s="26">
        <v>20000000</v>
      </c>
    </row>
    <row r="9" spans="1:6" x14ac:dyDescent="0.25">
      <c r="A9" s="13" t="s">
        <v>18</v>
      </c>
      <c r="B9" s="14" t="s">
        <v>119</v>
      </c>
      <c r="C9" s="11" t="s">
        <v>23</v>
      </c>
      <c r="D9" s="12">
        <v>2</v>
      </c>
      <c r="E9" s="51" t="s">
        <v>29</v>
      </c>
      <c r="F9" s="26">
        <v>10000000</v>
      </c>
    </row>
    <row r="10" spans="1:6" s="8" customFormat="1" x14ac:dyDescent="0.25">
      <c r="A10" s="54" t="s">
        <v>90</v>
      </c>
      <c r="B10" s="14">
        <v>20000000</v>
      </c>
      <c r="C10" s="11" t="s">
        <v>24</v>
      </c>
      <c r="D10" s="12">
        <v>2</v>
      </c>
      <c r="E10" s="51" t="s">
        <v>84</v>
      </c>
      <c r="F10" s="26">
        <v>10000000</v>
      </c>
    </row>
    <row r="11" spans="1:6" ht="15.75" thickBot="1" x14ac:dyDescent="0.3">
      <c r="A11" s="55" t="s">
        <v>91</v>
      </c>
      <c r="B11" s="53">
        <v>84000000</v>
      </c>
      <c r="C11" s="11" t="s">
        <v>45</v>
      </c>
      <c r="D11" s="12">
        <v>1</v>
      </c>
      <c r="E11" s="51" t="s">
        <v>85</v>
      </c>
      <c r="F11" s="25">
        <v>20000000</v>
      </c>
    </row>
    <row r="12" spans="1:6" x14ac:dyDescent="0.25">
      <c r="C12" s="11" t="s">
        <v>78</v>
      </c>
      <c r="D12" s="12" t="s">
        <v>49</v>
      </c>
      <c r="E12" s="51" t="s">
        <v>86</v>
      </c>
      <c r="F12" s="25" t="s">
        <v>49</v>
      </c>
    </row>
    <row r="13" spans="1:6" x14ac:dyDescent="0.25">
      <c r="C13" s="11" t="s">
        <v>79</v>
      </c>
      <c r="D13" s="12">
        <v>2</v>
      </c>
      <c r="E13" s="51" t="s">
        <v>94</v>
      </c>
      <c r="F13" s="25">
        <v>10000000</v>
      </c>
    </row>
    <row r="14" spans="1:6" x14ac:dyDescent="0.25">
      <c r="C14" s="11" t="s">
        <v>80</v>
      </c>
      <c r="D14" s="12">
        <v>2</v>
      </c>
      <c r="E14" s="51" t="s">
        <v>87</v>
      </c>
      <c r="F14" s="25">
        <v>10000000</v>
      </c>
    </row>
    <row r="15" spans="1:6" x14ac:dyDescent="0.25">
      <c r="C15" s="11" t="s">
        <v>81</v>
      </c>
      <c r="D15" s="12">
        <v>2</v>
      </c>
      <c r="E15" s="51" t="s">
        <v>89</v>
      </c>
      <c r="F15" s="25">
        <v>10000000</v>
      </c>
    </row>
    <row r="16" spans="1:6" ht="15.75" thickBot="1" x14ac:dyDescent="0.3">
      <c r="C16" s="15" t="s">
        <v>82</v>
      </c>
      <c r="D16" s="16">
        <v>2</v>
      </c>
      <c r="E16" s="52" t="s">
        <v>88</v>
      </c>
      <c r="F16" s="49">
        <v>10000000</v>
      </c>
    </row>
    <row r="20" spans="1:6" ht="15.75" thickBot="1" x14ac:dyDescent="0.3"/>
    <row r="21" spans="1:6" ht="15.75" thickBot="1" x14ac:dyDescent="0.3">
      <c r="A21" s="135" t="s">
        <v>102</v>
      </c>
      <c r="B21" s="136"/>
      <c r="C21" s="136"/>
      <c r="D21" s="136"/>
      <c r="E21" s="136"/>
      <c r="F21" s="137"/>
    </row>
    <row r="22" spans="1:6" ht="15.75" thickBot="1" x14ac:dyDescent="0.3">
      <c r="A22" s="138" t="s">
        <v>103</v>
      </c>
      <c r="B22" s="139"/>
      <c r="C22" s="140" t="s">
        <v>57</v>
      </c>
      <c r="D22" s="141"/>
      <c r="E22" s="138" t="s">
        <v>58</v>
      </c>
      <c r="F22" s="139"/>
    </row>
    <row r="23" spans="1:6" x14ac:dyDescent="0.25">
      <c r="A23" s="9" t="s">
        <v>104</v>
      </c>
      <c r="B23" s="10">
        <v>0</v>
      </c>
      <c r="C23" s="9" t="s">
        <v>105</v>
      </c>
      <c r="D23" s="10">
        <v>2</v>
      </c>
      <c r="E23" s="50" t="s">
        <v>106</v>
      </c>
      <c r="F23" s="24">
        <v>80000000</v>
      </c>
    </row>
    <row r="24" spans="1:6" ht="15.75" thickBot="1" x14ac:dyDescent="0.3">
      <c r="A24" s="13" t="s">
        <v>107</v>
      </c>
      <c r="B24" s="14">
        <v>23</v>
      </c>
      <c r="C24" s="73" t="s">
        <v>108</v>
      </c>
      <c r="D24" s="53">
        <v>1</v>
      </c>
      <c r="E24" s="52" t="s">
        <v>109</v>
      </c>
      <c r="F24" s="49">
        <v>40000000</v>
      </c>
    </row>
    <row r="25" spans="1:6" x14ac:dyDescent="0.25">
      <c r="A25" s="13" t="s">
        <v>110</v>
      </c>
      <c r="B25" s="14">
        <v>2</v>
      </c>
      <c r="C25" s="30"/>
      <c r="D25" s="74"/>
      <c r="E25" s="30"/>
      <c r="F25" s="31"/>
    </row>
    <row r="26" spans="1:6" x14ac:dyDescent="0.25">
      <c r="A26" s="13" t="s">
        <v>111</v>
      </c>
      <c r="B26" s="14">
        <v>4</v>
      </c>
      <c r="C26" s="75"/>
      <c r="D26" s="76"/>
      <c r="E26" s="30"/>
      <c r="F26" s="31"/>
    </row>
    <row r="27" spans="1:6" x14ac:dyDescent="0.25">
      <c r="A27" s="54" t="s">
        <v>112</v>
      </c>
      <c r="B27" s="14">
        <v>160000000</v>
      </c>
      <c r="C27" s="75"/>
      <c r="D27" s="76"/>
      <c r="E27" s="30"/>
      <c r="F27" s="31"/>
    </row>
    <row r="28" spans="1:6" ht="15.75" thickBot="1" x14ac:dyDescent="0.3">
      <c r="A28" s="55" t="s">
        <v>113</v>
      </c>
      <c r="B28" s="53">
        <v>96000000</v>
      </c>
      <c r="C28" s="30"/>
      <c r="D28" s="74"/>
      <c r="E28" s="30"/>
      <c r="F28" s="31"/>
    </row>
    <row r="37" spans="1:2" x14ac:dyDescent="0.25">
      <c r="A37" s="30"/>
      <c r="B37" s="31"/>
    </row>
  </sheetData>
  <mergeCells count="8">
    <mergeCell ref="A1:F1"/>
    <mergeCell ref="A21:F21"/>
    <mergeCell ref="A22:B22"/>
    <mergeCell ref="C22:D22"/>
    <mergeCell ref="E22:F22"/>
    <mergeCell ref="C2:D2"/>
    <mergeCell ref="E2:F2"/>
    <mergeCell ref="A2:B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INFO</vt:lpstr>
      <vt:lpstr>CALCULATOR</vt:lpstr>
      <vt:lpstr>RESULTS</vt:lpstr>
      <vt:lpstr>Fosc</vt:lpstr>
      <vt:lpstr>Fpll</vt:lpstr>
      <vt:lpstr>N</vt:lpstr>
      <vt:lpstr>P</vt:lpstr>
      <vt:lpstr>PDIV</vt:lpstr>
    </vt:vector>
  </TitlesOfParts>
  <Company>Infineon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Narayanan Subrahmanyam (IFIN ATV IVVT / External)</dc:creator>
  <cp:lastModifiedBy>Merin Thomas (IFIN ATV SW DEV / External)</cp:lastModifiedBy>
  <dcterms:created xsi:type="dcterms:W3CDTF">2011-04-12T08:39:52Z</dcterms:created>
  <dcterms:modified xsi:type="dcterms:W3CDTF">2016-11-24T14:01:41Z</dcterms:modified>
</cp:coreProperties>
</file>